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8d02f25f544bb0" /></Relationships>
</file>

<file path=xl/workbook.xml><?xml version="1.0" encoding="utf-8"?>
<x:workbook xmlns:x="http://schemas.openxmlformats.org/spreadsheetml/2006/main">
  <x:sheets>
    <x:sheet xmlns:r="http://schemas.openxmlformats.org/officeDocument/2006/relationships" name="Overzicht" sheetId="1" r:id="R0bea61bec90c4c1f"/>
    <x:sheet xmlns:r="http://schemas.openxmlformats.org/officeDocument/2006/relationships" name="Cases" sheetId="2" r:id="R826b12704bf94794"/>
    <x:sheet xmlns:r="http://schemas.openxmlformats.org/officeDocument/2006/relationships" name="Bronnen" sheetId="3" r:id="Rf8b8446147634528"/>
    <x:sheet xmlns:r="http://schemas.openxmlformats.org/officeDocument/2006/relationships" name="Instructies" sheetId="4" r:id="R6deb17a1484b45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22"/>
      <x:color rgb="FFFFFFFF"/>
      <x:name val="Carlito"/>
    </x:font>
    <x:font>
      <x:sz val="11"/>
      <x:color rgb="FF415466"/>
      <x:name val="Carlito"/>
    </x:font>
    <x:font>
      <x:b/>
      <x:sz val="11"/>
      <x:color rgb="FFFFFFFF"/>
      <x:name val="Carlito"/>
    </x:font>
    <x:font>
      <x:sz val="11"/>
      <x:color rgb="FF263746"/>
      <x:name val="Carlito"/>
    </x:font>
    <x:font>
      <x:b/>
      <x:sz val="11"/>
      <x:color rgb="FF155E59"/>
      <x:name val="Carlito"/>
    </x:font>
    <x:font>
      <x:b/>
      <x:sz val="10"/>
      <x:color rgb="FFFFFFFF"/>
      <x:name val="Carlito"/>
    </x:font>
    <x:font>
      <x:sz val="9"/>
      <x:color rgb="FF263746"/>
      <x:name val="Carlito"/>
    </x:font>
    <x:font>
      <x:b/>
      <x:sz val="20"/>
      <x:color rgb="FFFFFFFF"/>
      <x:name val="Carlito"/>
    </x:font>
    <x:font>
      <x:b/>
      <x:sz val="14"/>
      <x:color rgb="FFFFFFFF"/>
      <x:name val="Carlito"/>
    </x:font>
  </x:fonts>
  <x:fills count="6">
    <x:fill>
      <x:patternFill patternType="none"/>
    </x:fill>
    <x:fill>
      <x:patternFill patternType="gray125"/>
    </x:fill>
    <x:fill>
      <x:patternFill patternType="solid">
        <x:fgColor rgb="FF17324D"/>
      </x:patternFill>
    </x:fill>
    <x:fill>
      <x:patternFill patternType="solid">
        <x:fgColor rgb="FF0B7F78"/>
      </x:patternFill>
    </x:fill>
    <x:fill>
      <x:patternFill patternType="solid">
        <x:fgColor rgb="FFE8F4F2"/>
      </x:patternFill>
    </x:fill>
    <x:fill>
      <x:patternFill patternType="solid">
        <x:fgColor rgb="FFFFF6D8"/>
      </x:patternFill>
    </x:fill>
  </x:fills>
  <x:borders count="2">
    <x:border/>
    <x:border>
      <x:bottom/>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4" fillId="0" borderId="0" xfId="0" applyNumberFormat="1" applyFont="1" applyFill="1" applyBorder="1"/>
    <x:xf numFmtId="0" fontId="4" fillId="0" borderId="1" xfId="0" applyNumberFormat="1" applyFont="1" applyFill="1" applyBorder="1"/>
    <x:xf numFmtId="200" fontId="4" fillId="0" borderId="1"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7" fillId="0" borderId="0" xfId="0" applyNumberFormat="1" applyFont="1" applyFill="1" applyBorder="1"/>
    <x:xf numFmtId="0" fontId="7" fillId="0" borderId="1" xfId="0" applyNumberFormat="1" applyFont="1" applyFill="1" applyBorder="1"/>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9" fillId="3" borderId="0" xfId="0" applyNumberFormat="1" applyFont="1" applyFill="1" applyBorder="1" applyAlignment="1">
      <x:alignment horizontal="center" vertical="center"/>
    </x:xf>
    <x:xf numFmtId="0" fontId="5" fillId="4" borderId="0"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dxfs count="3">
    <x:dxf>
      <x:font>
        <x:b/>
        <x:color rgb="FF246B3A"/>
      </x:font>
      <x:fill>
        <x:patternFill patternType="solid">
          <x:bgColor rgb="FFDDF3E4"/>
        </x:patternFill>
      </x:fill>
    </x:dxf>
    <x:dxf>
      <x:font>
        <x:b/>
        <x:color rgb="FF9B2C2C"/>
      </x:font>
      <x:fill>
        <x:patternFill patternType="solid">
          <x:bgColor rgb="FFFCE3E3"/>
        </x:patternFill>
      </x:fill>
    </x:dxf>
    <x:dxf>
      <x:font>
        <x:b/>
        <x:color rgb="FF246B3A"/>
      </x:font>
      <x:fill>
        <x:patternFill patternType="solid">
          <x:bgColor rgb="FFDD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d42199c230490b" /><Relationship Type="http://schemas.openxmlformats.org/officeDocument/2006/relationships/theme" Target="/xl/theme/theme1.xml" Id="Rbcb9954eacee4008" /><Relationship Type="http://schemas.openxmlformats.org/officeDocument/2006/relationships/sharedStrings" Target="/xl/sharedStrings.xml" Id="R5cc46545793b484a" /><Relationship Type="http://schemas.openxmlformats.org/officeDocument/2006/relationships/worksheet" Target="/xl/worksheets/sheet1.xml" Id="R0bea61bec90c4c1f" /><Relationship Type="http://schemas.openxmlformats.org/officeDocument/2006/relationships/worksheet" Target="/xl/worksheets/sheet2.xml" Id="R826b12704bf94794" /><Relationship Type="http://schemas.openxmlformats.org/officeDocument/2006/relationships/worksheet" Target="/xl/worksheets/sheet3.xml" Id="Rf8b8446147634528" /><Relationship Type="http://schemas.openxmlformats.org/officeDocument/2006/relationships/worksheet" Target="/xl/worksheets/sheet4.xml" Id="R6deb17a1484b4577" /></Relationships>
</file>

<file path=xl/tables/table1.xml><?xml version="1.0" encoding="utf-8"?>
<x:table xmlns:x="http://schemas.openxmlformats.org/spreadsheetml/2006/main" id="1" name="CasesTable" displayName="CasesTable" ref="A1:X51" headerRowCount="1" totalsRowCount="0" totalsRowShown="0">
  <x:tableColumns count="24">
    <x:tableColumn id="1" name="case_id"/>
    <x:tableColumn id="2" name="cohort"/>
    <x:tableColumn id="3" name="sector_profile"/>
    <x:tableColumn id="4" name="organization_profile"/>
    <x:tableColumn id="5" name="vestigingsnummer"/>
    <x:tableColumn id="6" name="naam"/>
    <x:tableColumn id="7" name="gemeente"/>
    <x:tableColumn id="8" name="adres"/>
    <x:tableColumn id="9" name="sbi_code"/>
    <x:tableColumn id="10" name="kvk_nummer"/>
    <x:tableColumn id="11" name="gevraagd_jaar"/>
    <x:tableColumn id="12" name="expected_routes"/>
    <x:tableColumn id="13" name="known_pitfall"/>
    <x:tableColumn id="14" name="legacy_wp_hint"/>
    <x:tableColumn id="15" name="expected_wp"/>
    <x:tableColumn id="16" name="expected_unit"/>
    <x:tableColumn id="17" name="expected_scope"/>
    <x:tableColumn id="18" name="expected_outcome"/>
    <x:tableColumn id="19" name="verification_status"/>
    <x:tableColumn id="20" name="reviewer"/>
    <x:tableColumn id="21" name="review_date"/>
    <x:tableColumn id="22" name="notes"/>
    <x:tableColumn id="23" name="betrouwbaarheid_oordeel"/>
    <x:tableColumn id="24" name="oordeel_toelichting"/>
  </x:tableColumns>
  <x:tableStyleInfo name="TableStyleMedium2" showFirstColumn="0" showLastColumn="0" showRowStripes="1" showColumnStripes="0"/>
</x:table>
</file>

<file path=xl/tables/table2.xml><?xml version="1.0" encoding="utf-8"?>
<x:table xmlns:x="http://schemas.openxmlformats.org/spreadsheetml/2006/main" id="2" name="BronnenTable" displayName="BronnenTable" ref="A1:L67" headerRowCount="1" totalsRowCount="0" totalsRowShown="0">
  <x:tableColumns count="12">
    <x:tableColumn id="1" name="source_id"/>
    <x:tableColumn id="2" name="case_id"/>
    <x:tableColumn id="3" name="source_role"/>
    <x:tableColumn id="4" name="url"/>
    <x:tableColumn id="5" name="brontype_hint"/>
    <x:tableColumn id="6" name="wp_hint"/>
    <x:tableColumn id="7" name="unit_hint"/>
    <x:tableColumn id="8" name="scope_hint"/>
    <x:tableColumn id="9" name="expected_usable"/>
    <x:tableColumn id="10" name="verification_status"/>
    <x:tableColumn id="11" name="rejection_reason"/>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6aedc038ce454c" /></Relationships>
</file>

<file path=xl/worksheets/_rels/sheet3.xml.rels>&#65279;<?xml version="1.0" encoding="utf-8"?><Relationships xmlns="http://schemas.openxmlformats.org/package/2006/relationships"><Relationship Type="http://schemas.openxmlformats.org/officeDocument/2006/relationships/table" Target="/xl/tables/table2.xml" Id="Rafcb8a3133c7413a"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16" hidden="0" customWidth="1"/>
    <x:col min="4" max="4" width="28" hidden="0" customWidth="1"/>
    <x:col min="5" max="5" width="16" hidden="0" customWidth="1"/>
    <x:col min="6" max="6" width="16" hidden="0" customWidth="1"/>
    <x:col min="7" max="7" width="16" hidden="0" customWidth="1"/>
    <x:col min="8" max="8" width="16" hidden="0" customWidth="1"/>
  </x:cols>
  <x:sheetData>
    <x:row r="1">
      <x:c r="A1" s="3" t="str">
        <x:v>VR research testset v1</x:v>
      </x:c>
      <x:c r="B1" s="3"/>
      <x:c r="C1" s="3"/>
      <x:c r="D1" s="3"/>
      <x:c r="E1" s="3"/>
      <x:c r="F1" s="3"/>
      <x:c r="G1" s="3"/>
      <x:c r="H1" s="3"/>
    </x:row>
    <x:row r="2">
      <x:c r="A2" s="3"/>
      <x:c r="B2" s="3"/>
      <x:c r="C2" s="3"/>
      <x:c r="D2" s="3"/>
      <x:c r="E2" s="3"/>
      <x:c r="F2" s="3"/>
      <x:c r="G2" s="3"/>
      <x:c r="H2" s="3"/>
    </x:row>
    <x:row r="4">
      <x:c r="A4" s="6" t="str">
        <x:v>Een representatieve meetlat van 50 vestigingen. Kandidaten en oude cijfers zijn géén waarheid: alleen handmatig geverifieerde cases en bronnen tellen mee in de evaluatie.</x:v>
      </x:c>
      <x:c r="B4" s="6"/>
      <x:c r="C4" s="6"/>
      <x:c r="D4" s="6"/>
      <x:c r="E4" s="6"/>
      <x:c r="F4" s="6"/>
      <x:c r="G4" s="6"/>
      <x:c r="H4" s="6"/>
    </x:row>
    <x:row r="5">
      <x:c r="A5" s="6"/>
      <x:c r="B5" s="6"/>
      <x:c r="C5" s="6"/>
      <x:c r="D5" s="6"/>
      <x:c r="E5" s="6"/>
      <x:c r="F5" s="6"/>
      <x:c r="G5" s="6"/>
      <x:c r="H5" s="6"/>
    </x:row>
    <x:row r="7">
      <x:c r="A7" s="8" t="str">
        <x:v>Meetpunt</x:v>
      </x:c>
      <x:c r="B7" s="8" t="str">
        <x:v>Waarde</x:v>
      </x:c>
      <x:c r="D7" s="8" t="str">
        <x:v>Cohort</x:v>
      </x:c>
      <x:c r="E7" s="8" t="str">
        <x:v>Aantal</x:v>
      </x:c>
    </x:row>
    <x:row r="8">
      <x:c r="A8" s="9" t="str">
        <x:v>Totaal cases</x:v>
      </x:c>
      <x:c r="B8" s="9" t="n">
        <x:f>COUNTA('Cases'!$A$2:$A$51)</x:f>
        <x:v>50</x:v>
      </x:c>
      <x:c r="D8" s="9" t="str">
        <x:v>Bestaande gemengde cases</x:v>
      </x:c>
      <x:c r="E8" s="9" t="n">
        <x:f>COUNTIF('Cases'!$B$2:$B$51,"legacy_mixed")</x:f>
        <x:v>20</x:v>
      </x:c>
    </x:row>
    <x:row r="9">
      <x:c r="A9" s="9" t="str">
        <x:v>Geverifieerde cases</x:v>
      </x:c>
      <x:c r="B9" s="9" t="n">
        <x:f>COUNTIF('Cases'!$S$2:$S$51,"verified")</x:f>
        <x:v>0</x:v>
      </x:c>
      <x:c r="D9" s="9" t="str">
        <x:v>Onderwijs</x:v>
      </x:c>
      <x:c r="E9" s="9" t="n">
        <x:f>COUNTIF('Cases'!$B$2:$B$51,"education")</x:f>
        <x:v>7</x:v>
      </x:c>
    </x:row>
    <x:row r="10">
      <x:c r="A10" s="9" t="str">
        <x:v>Openstaande cases</x:v>
      </x:c>
      <x:c r="B10" s="9" t="n">
        <x:f>COUNTIF('Cases'!$S$2:$S$51,"pending_review")</x:f>
        <x:v>50</x:v>
      </x:c>
      <x:c r="D10" s="9" t="str">
        <x:v>Formele documenten</x:v>
      </x:c>
      <x:c r="E10" s="9" t="n">
        <x:f>COUNTIF('Cases'!$B$2:$B$51,"formal_documents")</x:f>
        <x:v>8</x:v>
      </x:c>
    </x:row>
    <x:row r="11">
      <x:c r="A11" s="10" t="str">
        <x:v>Voortgang</x:v>
      </x:c>
      <x:c r="B11" s="11" t="n">
        <x:f>IFERROR(B9/B8,0)</x:f>
        <x:v>0</x:v>
      </x:c>
      <x:c r="D11" s="9" t="str">
        <x:v>Zorgvestigingen</x:v>
      </x:c>
      <x:c r="E11" s="9" t="n">
        <x:f>COUNTIF('Cases'!$B$2:$B$51,"care_branches")</x:f>
        <x:v>15</x:v>
      </x:c>
    </x:row>
    <x:row r="12">
      <x:c r="D12" s="10" t="str">
        <x:v>Bronkandidaten</x:v>
      </x:c>
      <x:c r="E12" s="10" t="n">
        <x:f>COUNTA('Bronnen'!$A$2:$A$67)</x:f>
        <x:v>66</x:v>
      </x:c>
    </x:row>
    <x:row r="14">
      <x:c r="A14" s="15" t="str">
        <x:v>Start bij het tabblad Instructies. Vul daarna de gele velden in Cases en Bronnen in. Zet een case pas op ‘verified’ wanneer de verwachte uitkomst én alle relevante bronlabels volledig zijn beoordeeld.</x:v>
      </x:c>
      <x:c r="B14" s="15"/>
      <x:c r="C14" s="15"/>
      <x:c r="D14" s="15"/>
      <x:c r="E14" s="15"/>
      <x:c r="F14" s="15"/>
      <x:c r="G14" s="15"/>
      <x:c r="H14" s="15"/>
    </x:row>
    <x:row r="15">
      <x:c r="A15" s="15"/>
      <x:c r="B15" s="15"/>
      <x:c r="C15" s="15"/>
      <x:c r="D15" s="15"/>
      <x:c r="E15" s="15"/>
      <x:c r="F15" s="15"/>
      <x:c r="G15" s="15"/>
      <x:c r="H15" s="15"/>
    </x:row>
    <x:row r="16">
      <x:c r="A16" s="15"/>
      <x:c r="B16" s="15"/>
      <x:c r="C16" s="15"/>
      <x:c r="D16" s="15"/>
      <x:c r="E16" s="15"/>
      <x:c r="F16" s="15"/>
      <x:c r="G16" s="15"/>
      <x:c r="H16" s="15"/>
    </x:row>
  </x:sheetData>
  <x:mergeCells>
    <x:mergeCell ref="A1:H2"/>
    <x:mergeCell ref="A4:H5"/>
    <x:mergeCell ref="A14: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8" hidden="0" customWidth="1"/>
    <x:col min="4" max="4" width="18" hidden="0" customWidth="1"/>
    <x:col min="5" max="5" width="18" hidden="0" customWidth="1"/>
    <x:col min="6" max="6" width="30" hidden="0" customWidth="1"/>
    <x:col min="7" max="7" width="18" hidden="0" customWidth="1"/>
    <x:col min="8" max="8" width="18" hidden="0" customWidth="1"/>
    <x:col min="9" max="9" width="18" hidden="0" customWidth="1"/>
    <x:col min="10" max="10" width="18" hidden="0" customWidth="1"/>
    <x:col min="11" max="11" width="12" hidden="0" customWidth="1"/>
    <x:col min="12" max="12" width="30" hidden="0" customWidth="1"/>
    <x:col min="13" max="13" width="30"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24" hidden="0" customWidth="1"/>
    <x:col min="21" max="21" width="24" hidden="0" customWidth="1"/>
    <x:col min="22" max="22" width="24" hidden="0" customWidth="1"/>
    <x:col min="23" max="23" width="24" hidden="0" customWidth="1"/>
    <x:col min="24" max="24" width="24" hidden="0" customWidth="1"/>
  </x:cols>
  <x:sheetData>
    <x:row r="1" ht="42" customHeight="1">
      <x:c r="A1" s="18" t="str">
        <x:v>case_id</x:v>
      </x:c>
      <x:c r="B1" s="18" t="str">
        <x:v>cohort</x:v>
      </x:c>
      <x:c r="C1" s="18" t="str">
        <x:v>sector_profile</x:v>
      </x:c>
      <x:c r="D1" s="18" t="str">
        <x:v>organization_profile</x:v>
      </x:c>
      <x:c r="E1" s="18" t="str">
        <x:v>vestigingsnummer</x:v>
      </x:c>
      <x:c r="F1" s="18" t="str">
        <x:v>naam</x:v>
      </x:c>
      <x:c r="G1" s="18" t="str">
        <x:v>gemeente</x:v>
      </x:c>
      <x:c r="H1" s="18" t="str">
        <x:v>adres</x:v>
      </x:c>
      <x:c r="I1" s="18" t="str">
        <x:v>sbi_code</x:v>
      </x:c>
      <x:c r="J1" s="18" t="str">
        <x:v>kvk_nummer</x:v>
      </x:c>
      <x:c r="K1" s="18" t="str">
        <x:v>gevraagd_jaar</x:v>
      </x:c>
      <x:c r="L1" s="18" t="str">
        <x:v>expected_routes</x:v>
      </x:c>
      <x:c r="M1" s="18" t="str">
        <x:v>known_pitfall</x:v>
      </x:c>
      <x:c r="N1" s="18" t="str">
        <x:v>legacy_wp_hint</x:v>
      </x:c>
      <x:c r="O1" s="18" t="str">
        <x:v>expected_wp</x:v>
      </x:c>
      <x:c r="P1" s="18" t="str">
        <x:v>expected_unit</x:v>
      </x:c>
      <x:c r="Q1" s="18" t="str">
        <x:v>expected_scope</x:v>
      </x:c>
      <x:c r="R1" s="18" t="str">
        <x:v>expected_outcome</x:v>
      </x:c>
      <x:c r="S1" s="18" t="str">
        <x:v>verification_status</x:v>
      </x:c>
      <x:c r="T1" s="18" t="str">
        <x:v>reviewer</x:v>
      </x:c>
      <x:c r="U1" s="18" t="str">
        <x:v>review_date</x:v>
      </x:c>
      <x:c r="V1" s="18" t="str">
        <x:v>notes</x:v>
      </x:c>
      <x:c r="W1" s="18" t="str">
        <x:v>betrouwbaarheid_oordeel</x:v>
      </x:c>
      <x:c r="X1" s="18" t="str">
        <x:v>oordeel_toelichting</x:v>
      </x:c>
    </x:row>
    <x:row r="2" ht="30" customHeight="1">
      <x:c r="A2" s="23" t="str">
        <x:v>legacy-v001</x:v>
      </x:c>
      <x:c r="B2" s="23" t="str">
        <x:v>legacy_mixed</x:v>
      </x:c>
      <x:c r="C2" s="23" t="str">
        <x:v>zorg_institutioneel</x:v>
      </x:c>
      <x:c r="D2" s="23" t="str">
        <x:v>multilocatie</x:v>
      </x:c>
      <x:c r="E2" s="23" t="str">
        <x:v>V001</x:v>
      </x:c>
      <x:c r="F2" s="23" t="str">
        <x:v>Mondriaan</x:v>
      </x:c>
      <x:c r="G2" s="23" t="str">
        <x:v>Heerlen</x:v>
      </x:c>
      <x:c r="H2" s="23" t="str">
        <x:v>John F. Kennedylaan 301</x:v>
      </x:c>
      <x:c r="I2" s="23" t="str">
        <x:v>8622</x:v>
      </x:c>
      <x:c r="J2" s="23" t="str">
        <x:v>14042230</x:v>
      </x:c>
      <x:c r="K2" s="23" t="str">
        <x:v>2025</x:v>
      </x:c>
      <x:c r="L2" s="23" t="str">
        <x:v>website|document|digimv|media</x:v>
      </x:c>
      <x:c r="M2" s="23" t="str">
        <x:v>Concerncijfer versus Limburgse vestigingen</x:v>
      </x:c>
      <x:c r="N2" s="23" t="str">
        <x:v>2281</x:v>
      </x:c>
      <x:c r="O2" s="25" t="str"/>
      <x:c r="P2" s="25" t="str"/>
      <x:c r="Q2" s="25" t="str"/>
      <x:c r="R2" s="25" t="str">
        <x:v>needs_review</x:v>
      </x:c>
      <x:c r="S2" s="25" t="str">
        <x:v>pending_review</x:v>
      </x:c>
      <x:c r="T2" s="25" t="str"/>
      <x:c r="U2" s="25" t="str"/>
      <x:c r="V2" s="25" t="str">
        <x:v>Oud cijfer uitsluitend als onderzoekshint</x:v>
      </x:c>
      <x:c r="W2" s="25" t="str"/>
      <x:c r="X2" s="25" t="str"/>
    </x:row>
    <x:row r="3" ht="30" customHeight="1">
      <x:c r="A3" s="23" t="str">
        <x:v>legacy-v002</x:v>
      </x:c>
      <x:c r="B3" s="23" t="str">
        <x:v>legacy_mixed</x:v>
      </x:c>
      <x:c r="C3" s="23" t="str">
        <x:v>industrie</x:v>
      </x:c>
      <x:c r="D3" s="23" t="str">
        <x:v>organisatie</x:v>
      </x:c>
      <x:c r="E3" s="23" t="str">
        <x:v>V002</x:v>
      </x:c>
      <x:c r="F3" s="23" t="str">
        <x:v>Okechamp B.V.</x:v>
      </x:c>
      <x:c r="G3" s="23" t="str">
        <x:v>Horst aan de Maas</x:v>
      </x:c>
      <x:c r="H3" s="23" t="str">
        <x:v>Venrayseweg 122</x:v>
      </x:c>
      <x:c r="I3" s="23" t="str">
        <x:v>1039</x:v>
      </x:c>
      <x:c r="J3" s="23" t="str">
        <x:v>12345601</x:v>
      </x:c>
      <x:c r="K3" s="23" t="str">
        <x:v>2025</x:v>
      </x:c>
      <x:c r="L3" s="23" t="str">
        <x:v>website|document|media</x:v>
      </x:c>
      <x:c r="M3" s="23" t="str">
        <x:v>Document kan gemiddeld personeel in plaats van peilmoment noemen</x:v>
      </x:c>
      <x:c r="N3" s="23" t="str">
        <x:v>138</x:v>
      </x:c>
      <x:c r="O3" s="25" t="str"/>
      <x:c r="P3" s="25" t="str"/>
      <x:c r="Q3" s="25" t="str"/>
      <x:c r="R3" s="25" t="str">
        <x:v>needs_review</x:v>
      </x:c>
      <x:c r="S3" s="25" t="str">
        <x:v>pending_review</x:v>
      </x:c>
      <x:c r="T3" s="25" t="str"/>
      <x:c r="U3" s="25" t="str"/>
      <x:c r="V3" s="25" t="str">
        <x:v>Oud cijfer uitsluitend als onderzoekshint</x:v>
      </x:c>
      <x:c r="W3" s="25" t="str"/>
      <x:c r="X3" s="25" t="str"/>
    </x:row>
    <x:row r="4" ht="30" customHeight="1">
      <x:c r="A4" s="23" t="str">
        <x:v>legacy-v003</x:v>
      </x:c>
      <x:c r="B4" s="23" t="str">
        <x:v>legacy_mixed</x:v>
      </x:c>
      <x:c r="C4" s="23" t="str">
        <x:v>detailhandel</x:v>
      </x:c>
      <x:c r="D4" s="23" t="str">
        <x:v>filiaal</x:v>
      </x:c>
      <x:c r="E4" s="23" t="str">
        <x:v>V003</x:v>
      </x:c>
      <x:c r="F4" s="23" t="str">
        <x:v>Jumbo Supermarkten B.V. - Filiaal</x:v>
      </x:c>
      <x:c r="G4" s="23" t="str">
        <x:v>Venlo</x:v>
      </x:c>
      <x:c r="H4" s="23" t="str">
        <x:v>Straelseweg 70</x:v>
      </x:c>
      <x:c r="I4" s="23" t="str">
        <x:v>4711</x:v>
      </x:c>
      <x:c r="J4" s="23" t="str">
        <x:v>17014800</x:v>
      </x:c>
      <x:c r="K4" s="23" t="str">
        <x:v>2025</x:v>
      </x:c>
      <x:c r="L4" s="23" t="str">
        <x:v>website|document|media</x:v>
      </x:c>
      <x:c r="M4" s="23" t="str">
        <x:v>Landelijk of provinciaal totaal is geen filiaalgetal</x:v>
      </x:c>
      <x:c r="N4" s="23" t="str">
        <x:v>2504</x:v>
      </x:c>
      <x:c r="O4" s="25" t="str"/>
      <x:c r="P4" s="25" t="str"/>
      <x:c r="Q4" s="25" t="str"/>
      <x:c r="R4" s="25" t="str">
        <x:v>needs_review</x:v>
      </x:c>
      <x:c r="S4" s="25" t="str">
        <x:v>pending_review</x:v>
      </x:c>
      <x:c r="T4" s="25" t="str"/>
      <x:c r="U4" s="25" t="str"/>
      <x:c r="V4" s="25" t="str">
        <x:v>Oud cijfer uitsluitend als onderzoekshint</x:v>
      </x:c>
      <x:c r="W4" s="25" t="str"/>
      <x:c r="X4" s="25" t="str"/>
    </x:row>
    <x:row r="5" ht="30" customHeight="1">
      <x:c r="A5" s="23" t="str">
        <x:v>legacy-v004</x:v>
      </x:c>
      <x:c r="B5" s="23" t="str">
        <x:v>legacy_mixed</x:v>
      </x:c>
      <x:c r="C5" s="23" t="str">
        <x:v>zorg_institutioneel</x:v>
      </x:c>
      <x:c r="D5" s="23" t="str">
        <x:v>multilocatie</x:v>
      </x:c>
      <x:c r="E5" s="23" t="str">
        <x:v>V004</x:v>
      </x:c>
      <x:c r="F5" s="23" t="str">
        <x:v>Stichting Pergamijn</x:v>
      </x:c>
      <x:c r="G5" s="23" t="str">
        <x:v>Echt-Susteren</x:v>
      </x:c>
      <x:c r="H5" s="23" t="str">
        <x:v>Pepinusbrug 2</x:v>
      </x:c>
      <x:c r="I5" s="23" t="str">
        <x:v>8720</x:v>
      </x:c>
      <x:c r="J5" s="23" t="str">
        <x:v>41067201</x:v>
      </x:c>
      <x:c r="K5" s="23" t="str">
        <x:v>2025</x:v>
      </x:c>
      <x:c r="L5" s="23" t="str">
        <x:v>website|document|digimv|media</x:v>
      </x:c>
      <x:c r="M5" s="23" t="str">
        <x:v>Concernscope versus specifieke locatie</x:v>
      </x:c>
      <x:c r="N5" s="23" t="str">
        <x:v>852</x:v>
      </x:c>
      <x:c r="O5" s="25" t="str"/>
      <x:c r="P5" s="25" t="str"/>
      <x:c r="Q5" s="25" t="str"/>
      <x:c r="R5" s="25" t="str">
        <x:v>needs_review</x:v>
      </x:c>
      <x:c r="S5" s="25" t="str">
        <x:v>pending_review</x:v>
      </x:c>
      <x:c r="T5" s="25" t="str"/>
      <x:c r="U5" s="25" t="str"/>
      <x:c r="V5" s="25" t="str">
        <x:v>Oud cijfer uitsluitend als onderzoekshint</x:v>
      </x:c>
      <x:c r="W5" s="25" t="str"/>
      <x:c r="X5" s="25" t="str"/>
    </x:row>
    <x:row r="6" ht="30" customHeight="1">
      <x:c r="A6" s="23" t="str">
        <x:v>legacy-v005</x:v>
      </x:c>
      <x:c r="B6" s="23" t="str">
        <x:v>legacy_mixed</x:v>
      </x:c>
      <x:c r="C6" s="23" t="str">
        <x:v>vervoer</x:v>
      </x:c>
      <x:c r="D6" s="23" t="str">
        <x:v>filiaal</x:v>
      </x:c>
      <x:c r="E6" s="23" t="str">
        <x:v>V005</x:v>
      </x:c>
      <x:c r="F6" s="23" t="str">
        <x:v>NS Groep</x:v>
      </x:c>
      <x:c r="G6" s="23" t="str">
        <x:v>Maastricht</x:v>
      </x:c>
      <x:c r="H6" s="23" t="str">
        <x:v>Stationsplein 1</x:v>
      </x:c>
      <x:c r="I6" s="23" t="str">
        <x:v>4910</x:v>
      </x:c>
      <x:c r="J6" s="23" t="str">
        <x:v>30124358</x:v>
      </x:c>
      <x:c r="K6" s="23" t="str">
        <x:v>2025</x:v>
      </x:c>
      <x:c r="L6" s="23" t="str">
        <x:v>website|document|media</x:v>
      </x:c>
      <x:c r="M6" s="23" t="str">
        <x:v>Landelijk concerncijfer mag niet naar station worden vertaald</x:v>
      </x:c>
      <x:c r="N6" s="23" t="str">
        <x:v>616</x:v>
      </x:c>
      <x:c r="O6" s="25" t="str"/>
      <x:c r="P6" s="25" t="str"/>
      <x:c r="Q6" s="25" t="str"/>
      <x:c r="R6" s="25" t="str">
        <x:v>needs_review</x:v>
      </x:c>
      <x:c r="S6" s="25" t="str">
        <x:v>pending_review</x:v>
      </x:c>
      <x:c r="T6" s="25" t="str"/>
      <x:c r="U6" s="25" t="str"/>
      <x:c r="V6" s="25" t="str">
        <x:v>Oud cijfer uitsluitend als onderzoekshint</x:v>
      </x:c>
      <x:c r="W6" s="25" t="str"/>
      <x:c r="X6" s="25" t="str"/>
    </x:row>
    <x:row r="7" ht="30" customHeight="1">
      <x:c r="A7" s="23" t="str">
        <x:v>legacy-v006</x:v>
      </x:c>
      <x:c r="B7" s="23" t="str">
        <x:v>legacy_mixed</x:v>
      </x:c>
      <x:c r="C7" s="23" t="str">
        <x:v>overheid</x:v>
      </x:c>
      <x:c r="D7" s="23" t="str">
        <x:v>organisatie</x:v>
      </x:c>
      <x:c r="E7" s="23" t="str">
        <x:v>V006</x:v>
      </x:c>
      <x:c r="F7" s="23" t="str">
        <x:v>Veiligheidsregio Limburg Noord</x:v>
      </x:c>
      <x:c r="G7" s="23" t="str">
        <x:v>Venlo</x:v>
      </x:c>
      <x:c r="H7" s="23" t="str">
        <x:v>Nijmeegseweg 42</x:v>
      </x:c>
      <x:c r="I7" s="23" t="str">
        <x:v>8425</x:v>
      </x:c>
      <x:c r="J7" s="23" t="str">
        <x:v>52917127</x:v>
      </x:c>
      <x:c r="K7" s="23" t="str">
        <x:v>2025</x:v>
      </x:c>
      <x:c r="L7" s="23" t="str">
        <x:v>website|document|media</x:v>
      </x:c>
      <x:c r="M7" s="23" t="str">
        <x:v>Jaarstukken kunnen FTE en meerdere posten mengen</x:v>
      </x:c>
      <x:c r="N7" s="23" t="str">
        <x:v>1230</x:v>
      </x:c>
      <x:c r="O7" s="25" t="str"/>
      <x:c r="P7" s="25" t="str"/>
      <x:c r="Q7" s="25" t="str"/>
      <x:c r="R7" s="25" t="str">
        <x:v>needs_review</x:v>
      </x:c>
      <x:c r="S7" s="25" t="str">
        <x:v>pending_review</x:v>
      </x:c>
      <x:c r="T7" s="25" t="str"/>
      <x:c r="U7" s="25" t="str"/>
      <x:c r="V7" s="25" t="str">
        <x:v>Oud cijfer uitsluitend als onderzoekshint</x:v>
      </x:c>
      <x:c r="W7" s="25" t="str"/>
      <x:c r="X7" s="25" t="str"/>
    </x:row>
    <x:row r="8" ht="30" customHeight="1">
      <x:c r="A8" s="23" t="str">
        <x:v>legacy-v007</x:v>
      </x:c>
      <x:c r="B8" s="23" t="str">
        <x:v>legacy_mixed</x:v>
      </x:c>
      <x:c r="C8" s="23" t="str">
        <x:v>zorg_institutioneel</x:v>
      </x:c>
      <x:c r="D8" s="23" t="str">
        <x:v>concern</x:v>
      </x:c>
      <x:c r="E8" s="23" t="str">
        <x:v>V007</x:v>
      </x:c>
      <x:c r="F8" s="23" t="str">
        <x:v>Zuyderland Medisch en Zorgconcern</x:v>
      </x:c>
      <x:c r="G8" s="23" t="str">
        <x:v>Sittard-Geleen</x:v>
      </x:c>
      <x:c r="H8" s="23" t="str">
        <x:v>Dr. H. van der Hoffplein 1</x:v>
      </x:c>
      <x:c r="I8" s="23" t="str">
        <x:v>8610</x:v>
      </x:c>
      <x:c r="J8" s="23" t="str">
        <x:v>14124204</x:v>
      </x:c>
      <x:c r="K8" s="23" t="str">
        <x:v>2025</x:v>
      </x:c>
      <x:c r="L8" s="23" t="str">
        <x:v>website|document|digimv|media</x:v>
      </x:c>
      <x:c r="M8" s="23" t="str">
        <x:v>DigiMV-entiteiten en concernonderdelen niet blind optellen</x:v>
      </x:c>
      <x:c r="N8" s="23" t="str">
        <x:v>10444</x:v>
      </x:c>
      <x:c r="O8" s="25" t="str"/>
      <x:c r="P8" s="25" t="str"/>
      <x:c r="Q8" s="25" t="str"/>
      <x:c r="R8" s="25" t="str">
        <x:v>needs_review</x:v>
      </x:c>
      <x:c r="S8" s="25" t="str">
        <x:v>pending_review</x:v>
      </x:c>
      <x:c r="T8" s="25" t="str"/>
      <x:c r="U8" s="25" t="str"/>
      <x:c r="V8" s="25" t="str">
        <x:v>Oud cijfer uitsluitend als onderzoekshint</x:v>
      </x:c>
      <x:c r="W8" s="25" t="str"/>
      <x:c r="X8" s="25" t="str"/>
    </x:row>
    <x:row r="9" ht="30" customHeight="1">
      <x:c r="A9" s="23" t="str">
        <x:v>legacy-v008</x:v>
      </x:c>
      <x:c r="B9" s="23" t="str">
        <x:v>legacy_mixed</x:v>
      </x:c>
      <x:c r="C9" s="23" t="str">
        <x:v>industrie</x:v>
      </x:c>
      <x:c r="D9" s="23" t="str">
        <x:v>multinational</x:v>
      </x:c>
      <x:c r="E9" s="23" t="str">
        <x:v>V008</x:v>
      </x:c>
      <x:c r="F9" s="23" t="str">
        <x:v>DSM-Firmenich</x:v>
      </x:c>
      <x:c r="G9" s="23" t="str">
        <x:v>Sittard-Geleen</x:v>
      </x:c>
      <x:c r="H9" s="23" t="str">
        <x:v>Poststraat 1</x:v>
      </x:c>
      <x:c r="I9" s="23" t="str">
        <x:v>2014</x:v>
      </x:c>
      <x:c r="J9" s="23" t="str">
        <x:v>14022069</x:v>
      </x:c>
      <x:c r="K9" s="23" t="str">
        <x:v>2025</x:v>
      </x:c>
      <x:c r="L9" s="23" t="str">
        <x:v>website|document|media</x:v>
      </x:c>
      <x:c r="M9" s="23" t="str">
        <x:v>Wereldwijd of Nederlands totaal is geen Limburgse vestiging</x:v>
      </x:c>
      <x:c r="N9" s="23" t="str">
        <x:v>586</x:v>
      </x:c>
      <x:c r="O9" s="25" t="str"/>
      <x:c r="P9" s="25" t="str"/>
      <x:c r="Q9" s="25" t="str"/>
      <x:c r="R9" s="25" t="str">
        <x:v>needs_review</x:v>
      </x:c>
      <x:c r="S9" s="25" t="str">
        <x:v>pending_review</x:v>
      </x:c>
      <x:c r="T9" s="25" t="str"/>
      <x:c r="U9" s="25" t="str"/>
      <x:c r="V9" s="25" t="str">
        <x:v>Oud cijfer uitsluitend als onderzoekshint</x:v>
      </x:c>
      <x:c r="W9" s="25" t="str"/>
      <x:c r="X9" s="25" t="str"/>
    </x:row>
    <x:row r="10" ht="30" customHeight="1">
      <x:c r="A10" s="23" t="str">
        <x:v>legacy-v009</x:v>
      </x:c>
      <x:c r="B10" s="23" t="str">
        <x:v>legacy_mixed</x:v>
      </x:c>
      <x:c r="C10" s="23" t="str">
        <x:v>bouw</x:v>
      </x:c>
      <x:c r="D10" s="23" t="str">
        <x:v>multilocatie</x:v>
      </x:c>
      <x:c r="E10" s="23" t="str">
        <x:v>V009</x:v>
      </x:c>
      <x:c r="F10" s="23" t="str">
        <x:v>Koninklijke BAM Groep N.V.</x:v>
      </x:c>
      <x:c r="G10" s="23" t="str">
        <x:v>Maastricht</x:v>
      </x:c>
      <x:c r="H10" s="23" t="str">
        <x:v>Gaetano Martinolaan 10</x:v>
      </x:c>
      <x:c r="I10" s="23" t="str">
        <x:v>4120</x:v>
      </x:c>
      <x:c r="J10" s="23" t="str">
        <x:v>30058019</x:v>
      </x:c>
      <x:c r="K10" s="23" t="str">
        <x:v>2025</x:v>
      </x:c>
      <x:c r="L10" s="23" t="str">
        <x:v>website|document|media</x:v>
      </x:c>
      <x:c r="M10" s="23" t="str">
        <x:v>Concerncijfer en projectlocatie kunnen worden verward</x:v>
      </x:c>
      <x:c r="N10" s="23" t="str">
        <x:v>153</x:v>
      </x:c>
      <x:c r="O10" s="25" t="str"/>
      <x:c r="P10" s="25" t="str"/>
      <x:c r="Q10" s="25" t="str"/>
      <x:c r="R10" s="25" t="str">
        <x:v>needs_review</x:v>
      </x:c>
      <x:c r="S10" s="25" t="str">
        <x:v>pending_review</x:v>
      </x:c>
      <x:c r="T10" s="25" t="str"/>
      <x:c r="U10" s="25" t="str"/>
      <x:c r="V10" s="25" t="str">
        <x:v>Oud cijfer uitsluitend als onderzoekshint</x:v>
      </x:c>
      <x:c r="W10" s="25" t="str"/>
      <x:c r="X10" s="25" t="str"/>
    </x:row>
    <x:row r="11" ht="30" customHeight="1">
      <x:c r="A11" s="23" t="str">
        <x:v>legacy-v010</x:v>
      </x:c>
      <x:c r="B11" s="23" t="str">
        <x:v>legacy_mixed</x:v>
      </x:c>
      <x:c r="C11" s="23" t="str">
        <x:v>zorg_lokale_praktijk</x:v>
      </x:c>
      <x:c r="D11" s="23" t="str">
        <x:v>lokale_vestiging</x:v>
      </x:c>
      <x:c r="E11" s="23" t="str">
        <x:v>V010</x:v>
      </x:c>
      <x:c r="F11" s="23" t="str">
        <x:v>Hallux Podotherapie</x:v>
      </x:c>
      <x:c r="G11" s="23" t="str">
        <x:v>Roermond</x:v>
      </x:c>
      <x:c r="H11" s="23" t="str">
        <x:v>Bredeweg 12</x:v>
      </x:c>
      <x:c r="I11" s="23" t="str">
        <x:v>8691</x:v>
      </x:c>
      <x:c r="J11" s="23" t="str">
        <x:v>12345610</x:v>
      </x:c>
      <x:c r="K11" s="23" t="str">
        <x:v>2025</x:v>
      </x:c>
      <x:c r="L11" s="23" t="str">
        <x:v>website|team_afspraak|digimv|media</x:v>
      </x:c>
      <x:c r="M11" s="23" t="str">
        <x:v>Teamfoto of teamlijst kan onvolledig worden gecrawld</x:v>
      </x:c>
      <x:c r="N11" s="23" t="str">
        <x:v>3</x:v>
      </x:c>
      <x:c r="O11" s="25" t="str"/>
      <x:c r="P11" s="25" t="str"/>
      <x:c r="Q11" s="25" t="str"/>
      <x:c r="R11" s="25" t="str">
        <x:v>needs_review</x:v>
      </x:c>
      <x:c r="S11" s="25" t="str">
        <x:v>pending_review</x:v>
      </x:c>
      <x:c r="T11" s="25" t="str"/>
      <x:c r="U11" s="25" t="str"/>
      <x:c r="V11" s="25" t="str">
        <x:v>Oud cijfer uitsluitend als onderzoekshint</x:v>
      </x:c>
      <x:c r="W11" s="25" t="str"/>
      <x:c r="X11" s="25" t="str"/>
    </x:row>
    <x:row r="12" ht="30" customHeight="1">
      <x:c r="A12" s="23" t="str">
        <x:v>legacy-v011</x:v>
      </x:c>
      <x:c r="B12" s="23" t="str">
        <x:v>legacy_mixed</x:v>
      </x:c>
      <x:c r="C12" s="23" t="str">
        <x:v>lokale_teamdienst</x:v>
      </x:c>
      <x:c r="D12" s="23" t="str">
        <x:v>lokale_vestiging</x:v>
      </x:c>
      <x:c r="E12" s="23" t="str">
        <x:v>V011</x:v>
      </x:c>
      <x:c r="F12" s="23" t="str">
        <x:v>Salon Handmade</x:v>
      </x:c>
      <x:c r="G12" s="23" t="str">
        <x:v>Weert</x:v>
      </x:c>
      <x:c r="H12" s="23" t="str">
        <x:v>Langstraat 8</x:v>
      </x:c>
      <x:c r="I12" s="23" t="str">
        <x:v>9602</x:v>
      </x:c>
      <x:c r="J12" s="23" t="str">
        <x:v>12345611</x:v>
      </x:c>
      <x:c r="K12" s="23" t="str">
        <x:v>2025</x:v>
      </x:c>
      <x:c r="L12" s="23" t="str">
        <x:v>website|team_afspraak|media</x:v>
      </x:c>
      <x:c r="M12" s="23" t="str">
        <x:v>Boekingsmodule kan vollediger zijn dan teampagina</x:v>
      </x:c>
      <x:c r="N12" s="23" t="str">
        <x:v>3</x:v>
      </x:c>
      <x:c r="O12" s="25" t="str"/>
      <x:c r="P12" s="25" t="str"/>
      <x:c r="Q12" s="25" t="str"/>
      <x:c r="R12" s="25" t="str">
        <x:v>needs_review</x:v>
      </x:c>
      <x:c r="S12" s="25" t="str">
        <x:v>pending_review</x:v>
      </x:c>
      <x:c r="T12" s="25" t="str"/>
      <x:c r="U12" s="25" t="str"/>
      <x:c r="V12" s="25" t="str">
        <x:v>Oud cijfer uitsluitend als onderzoekshint</x:v>
      </x:c>
      <x:c r="W12" s="25" t="str"/>
      <x:c r="X12" s="25" t="str"/>
    </x:row>
    <x:row r="13" ht="30" customHeight="1">
      <x:c r="A13" s="23" t="str">
        <x:v>legacy-v012</x:v>
      </x:c>
      <x:c r="B13" s="23" t="str">
        <x:v>legacy_mixed</x:v>
      </x:c>
      <x:c r="C13" s="23" t="str">
        <x:v>zorg_lokale_praktijk</x:v>
      </x:c>
      <x:c r="D13" s="23" t="str">
        <x:v>lokale_vestiging</x:v>
      </x:c>
      <x:c r="E13" s="23" t="str">
        <x:v>V012</x:v>
      </x:c>
      <x:c r="F13" s="23" t="str">
        <x:v>Orthodontie aan de Maas B.V.</x:v>
      </x:c>
      <x:c r="G13" s="23" t="str">
        <x:v>Maastricht</x:v>
      </x:c>
      <x:c r="H13" s="23" t="str">
        <x:v>Avenue Ceramique 125</x:v>
      </x:c>
      <x:c r="I13" s="23" t="str">
        <x:v>8623</x:v>
      </x:c>
      <x:c r="J13" s="23" t="str">
        <x:v>12345612</x:v>
      </x:c>
      <x:c r="K13" s="23" t="str">
        <x:v>2025</x:v>
      </x:c>
      <x:c r="L13" s="23" t="str">
        <x:v>website|team_afspraak|digimv|media</x:v>
      </x:c>
      <x:c r="M13" s="23" t="str">
        <x:v>Foto's en medewerkers onderaan de pagina kunnen ontbreken</x:v>
      </x:c>
      <x:c r="N13" s="23" t="str">
        <x:v>9</x:v>
      </x:c>
      <x:c r="O13" s="25" t="str"/>
      <x:c r="P13" s="25" t="str"/>
      <x:c r="Q13" s="25" t="str"/>
      <x:c r="R13" s="25" t="str">
        <x:v>needs_review</x:v>
      </x:c>
      <x:c r="S13" s="25" t="str">
        <x:v>pending_review</x:v>
      </x:c>
      <x:c r="T13" s="25" t="str"/>
      <x:c r="U13" s="25" t="str"/>
      <x:c r="V13" s="25" t="str">
        <x:v>Oud cijfer uitsluitend als onderzoekshint</x:v>
      </x:c>
      <x:c r="W13" s="25" t="str"/>
      <x:c r="X13" s="25" t="str"/>
    </x:row>
    <x:row r="14" ht="30" customHeight="1">
      <x:c r="A14" s="23" t="str">
        <x:v>legacy-v013</x:v>
      </x:c>
      <x:c r="B14" s="23" t="str">
        <x:v>legacy_mixed</x:v>
      </x:c>
      <x:c r="C14" s="23" t="str">
        <x:v>zorg_lokale_praktijk</x:v>
      </x:c>
      <x:c r="D14" s="23" t="str">
        <x:v>lokale_vestiging</x:v>
      </x:c>
      <x:c r="E14" s="23" t="str">
        <x:v>V013</x:v>
      </x:c>
      <x:c r="F14" s="23" t="str">
        <x:v>Huisartsenpraktijk Hoensbroek</x:v>
      </x:c>
      <x:c r="G14" s="23" t="str">
        <x:v>Heerlen</x:v>
      </x:c>
      <x:c r="H14" s="23" t="str">
        <x:v>Hoofdstraat 5</x:v>
      </x:c>
      <x:c r="I14" s="23" t="str">
        <x:v>8621</x:v>
      </x:c>
      <x:c r="J14" s="23" t="str">
        <x:v>12345613</x:v>
      </x:c>
      <x:c r="K14" s="23" t="str">
        <x:v>2025</x:v>
      </x:c>
      <x:c r="L14" s="23" t="str">
        <x:v>website|team_afspraak|digimv|media</x:v>
      </x:c>
      <x:c r="M14" s="23" t="str">
        <x:v>Gelijknamige praktijken en adresidentiteit extra controleren</x:v>
      </x:c>
      <x:c r="N14" s="23" t="str">
        <x:v>13</x:v>
      </x:c>
      <x:c r="O14" s="25" t="str"/>
      <x:c r="P14" s="25" t="str"/>
      <x:c r="Q14" s="25" t="str"/>
      <x:c r="R14" s="25" t="str">
        <x:v>needs_review</x:v>
      </x:c>
      <x:c r="S14" s="25" t="str">
        <x:v>pending_review</x:v>
      </x:c>
      <x:c r="T14" s="25" t="str"/>
      <x:c r="U14" s="25" t="str"/>
      <x:c r="V14" s="25" t="str">
        <x:v>Bekend twijfelgeval; oud cijfer niet vertrouwen</x:v>
      </x:c>
      <x:c r="W14" s="25" t="str"/>
      <x:c r="X14" s="25" t="str"/>
    </x:row>
    <x:row r="15" ht="30" customHeight="1">
      <x:c r="A15" s="23" t="str">
        <x:v>legacy-v014</x:v>
      </x:c>
      <x:c r="B15" s="23" t="str">
        <x:v>legacy_mixed</x:v>
      </x:c>
      <x:c r="C15" s="23" t="str">
        <x:v>zorg_lokale_praktijk</x:v>
      </x:c>
      <x:c r="D15" s="23" t="str">
        <x:v>multilocatie</x:v>
      </x:c>
      <x:c r="E15" s="23" t="str">
        <x:v>V014</x:v>
      </x:c>
      <x:c r="F15" s="23" t="str">
        <x:v>Verloskundigen (CB-er)</x:v>
      </x:c>
      <x:c r="G15" s="23" t="str">
        <x:v>Sittard-Geleen</x:v>
      </x:c>
      <x:c r="H15" s="23" t="str">
        <x:v>Rijksweg Zuid 30</x:v>
      </x:c>
      <x:c r="I15" s="23" t="str">
        <x:v>8691</x:v>
      </x:c>
      <x:c r="J15" s="23" t="str">
        <x:v>12345614</x:v>
      </x:c>
      <x:c r="K15" s="23" t="str">
        <x:v>2025</x:v>
      </x:c>
      <x:c r="L15" s="23" t="str">
        <x:v>website|team_afspraak|digimv|media</x:v>
      </x:c>
      <x:c r="M15" s="23" t="str">
        <x:v>CB-er en meerdere locaties maken scope onduidelijk</x:v>
      </x:c>
      <x:c r="N15" s="23" t="str">
        <x:v>10</x:v>
      </x:c>
      <x:c r="O15" s="25" t="str"/>
      <x:c r="P15" s="25" t="str"/>
      <x:c r="Q15" s="25" t="str"/>
      <x:c r="R15" s="25" t="str">
        <x:v>needs_review</x:v>
      </x:c>
      <x:c r="S15" s="25" t="str">
        <x:v>pending_review</x:v>
      </x:c>
      <x:c r="T15" s="25" t="str"/>
      <x:c r="U15" s="25" t="str"/>
      <x:c r="V15" s="25" t="str">
        <x:v>Oud cijfer uitsluitend als onderzoekshint</x:v>
      </x:c>
      <x:c r="W15" s="25" t="str"/>
      <x:c r="X15" s="25" t="str"/>
    </x:row>
    <x:row r="16" ht="30" customHeight="1">
      <x:c r="A16" s="23" t="str">
        <x:v>legacy-v015</x:v>
      </x:c>
      <x:c r="B16" s="23" t="str">
        <x:v>legacy_mixed</x:v>
      </x:c>
      <x:c r="C16" s="23" t="str">
        <x:v>zakelijke_dienstverlening</x:v>
      </x:c>
      <x:c r="D16" s="23" t="str">
        <x:v>lokale_vestiging</x:v>
      </x:c>
      <x:c r="E16" s="23" t="str">
        <x:v>V015</x:v>
      </x:c>
      <x:c r="F16" s="23" t="str">
        <x:v>Dreessen Advocaten</x:v>
      </x:c>
      <x:c r="G16" s="23" t="str">
        <x:v>Maastricht</x:v>
      </x:c>
      <x:c r="H16" s="23" t="str">
        <x:v>Wilhelminasingel 68</x:v>
      </x:c>
      <x:c r="I16" s="23" t="str">
        <x:v>6910</x:v>
      </x:c>
      <x:c r="J16" s="23" t="str">
        <x:v>12345615</x:v>
      </x:c>
      <x:c r="K16" s="23" t="str">
        <x:v>2025</x:v>
      </x:c>
      <x:c r="L16" s="23" t="str">
        <x:v>website|document|media</x:v>
      </x:c>
      <x:c r="M16" s="23" t="str">
        <x:v>Partners en ondersteunend personeel kunnen verschillend worden geteld</x:v>
      </x:c>
      <x:c r="N16" s="23" t="str">
        <x:v>5</x:v>
      </x:c>
      <x:c r="O16" s="25" t="str"/>
      <x:c r="P16" s="25" t="str"/>
      <x:c r="Q16" s="25" t="str"/>
      <x:c r="R16" s="25" t="str">
        <x:v>needs_review</x:v>
      </x:c>
      <x:c r="S16" s="25" t="str">
        <x:v>pending_review</x:v>
      </x:c>
      <x:c r="T16" s="25" t="str"/>
      <x:c r="U16" s="25" t="str"/>
      <x:c r="V16" s="25" t="str">
        <x:v>Oud cijfer uitsluitend als onderzoekshint</x:v>
      </x:c>
      <x:c r="W16" s="25" t="str"/>
      <x:c r="X16" s="25" t="str"/>
    </x:row>
    <x:row r="17" ht="30" customHeight="1">
      <x:c r="A17" s="23" t="str">
        <x:v>legacy-v016</x:v>
      </x:c>
      <x:c r="B17" s="23" t="str">
        <x:v>legacy_mixed</x:v>
      </x:c>
      <x:c r="C17" s="23" t="str">
        <x:v>zorg_lokale_praktijk</x:v>
      </x:c>
      <x:c r="D17" s="23" t="str">
        <x:v>lokale_vestiging</x:v>
      </x:c>
      <x:c r="E17" s="23" t="str">
        <x:v>V016</x:v>
      </x:c>
      <x:c r="F17" s="23" t="str">
        <x:v>Fysiosittard</x:v>
      </x:c>
      <x:c r="G17" s="23" t="str">
        <x:v>Sittard-Geleen</x:v>
      </x:c>
      <x:c r="H17" s="23" t="str">
        <x:v>Geerweg 2</x:v>
      </x:c>
      <x:c r="I17" s="23" t="str">
        <x:v>8692</x:v>
      </x:c>
      <x:c r="J17" s="23" t="str">
        <x:v>12345616</x:v>
      </x:c>
      <x:c r="K17" s="23" t="str">
        <x:v>2025</x:v>
      </x:c>
      <x:c r="L17" s="23" t="str">
        <x:v>website|team_afspraak|digimv|media</x:v>
      </x:c>
      <x:c r="M17" s="23" t="str">
        <x:v>Meerdere disciplines en zelfstandigen in teamlijst</x:v>
      </x:c>
      <x:c r="N17" s="23" t="str">
        <x:v>17</x:v>
      </x:c>
      <x:c r="O17" s="25" t="str"/>
      <x:c r="P17" s="25" t="str"/>
      <x:c r="Q17" s="25" t="str"/>
      <x:c r="R17" s="25" t="str">
        <x:v>needs_review</x:v>
      </x:c>
      <x:c r="S17" s="25" t="str">
        <x:v>pending_review</x:v>
      </x:c>
      <x:c r="T17" s="25" t="str"/>
      <x:c r="U17" s="25" t="str"/>
      <x:c r="V17" s="25" t="str">
        <x:v>Oud cijfer uitsluitend als onderzoekshint</x:v>
      </x:c>
      <x:c r="W17" s="25" t="str"/>
      <x:c r="X17" s="25" t="str"/>
    </x:row>
    <x:row r="18" ht="30" customHeight="1">
      <x:c r="A18" s="23" t="str">
        <x:v>legacy-v017</x:v>
      </x:c>
      <x:c r="B18" s="23" t="str">
        <x:v>legacy_mixed</x:v>
      </x:c>
      <x:c r="C18" s="23" t="str">
        <x:v>zakelijke_dienstverlening</x:v>
      </x:c>
      <x:c r="D18" s="23" t="str">
        <x:v>lokale_vestiging</x:v>
      </x:c>
      <x:c r="E18" s="23" t="str">
        <x:v>V017</x:v>
      </x:c>
      <x:c r="F18" s="23" t="str">
        <x:v>Philipse Accountancy en Advisering B.V.</x:v>
      </x:c>
      <x:c r="G18" s="23" t="str">
        <x:v>Venlo</x:v>
      </x:c>
      <x:c r="H18" s="23" t="str">
        <x:v>Kazernestraat 17</x:v>
      </x:c>
      <x:c r="I18" s="23" t="str">
        <x:v>6920</x:v>
      </x:c>
      <x:c r="J18" s="23" t="str">
        <x:v>12345617</x:v>
      </x:c>
      <x:c r="K18" s="23" t="str">
        <x:v>2025</x:v>
      </x:c>
      <x:c r="L18" s="23" t="str">
        <x:v>website|document|media</x:v>
      </x:c>
      <x:c r="M18" s="23" t="str">
        <x:v>Klein team zonder formele documenten</x:v>
      </x:c>
      <x:c r="N18" s="23" t="str">
        <x:v>2</x:v>
      </x:c>
      <x:c r="O18" s="25" t="str"/>
      <x:c r="P18" s="25" t="str"/>
      <x:c r="Q18" s="25" t="str"/>
      <x:c r="R18" s="25" t="str">
        <x:v>needs_review</x:v>
      </x:c>
      <x:c r="S18" s="25" t="str">
        <x:v>pending_review</x:v>
      </x:c>
      <x:c r="T18" s="25" t="str"/>
      <x:c r="U18" s="25" t="str"/>
      <x:c r="V18" s="25" t="str">
        <x:v>Oud cijfer uitsluitend als onderzoekshint</x:v>
      </x:c>
      <x:c r="W18" s="25" t="str"/>
      <x:c r="X18" s="25" t="str"/>
    </x:row>
    <x:row r="19" ht="30" customHeight="1">
      <x:c r="A19" s="23" t="str">
        <x:v>legacy-v018</x:v>
      </x:c>
      <x:c r="B19" s="23" t="str">
        <x:v>legacy_mixed</x:v>
      </x:c>
      <x:c r="C19" s="23" t="str">
        <x:v>zakelijke_dienstverlening</x:v>
      </x:c>
      <x:c r="D19" s="23" t="str">
        <x:v>lokale_vestiging</x:v>
      </x:c>
      <x:c r="E19" s="23" t="str">
        <x:v>V018</x:v>
      </x:c>
      <x:c r="F19" s="23" t="str">
        <x:v>Maasstreek Makelaardij B.V.</x:v>
      </x:c>
      <x:c r="G19" s="23" t="str">
        <x:v>Roermond</x:v>
      </x:c>
      <x:c r="H19" s="23" t="str">
        <x:v>Markt 21</x:v>
      </x:c>
      <x:c r="I19" s="23" t="str">
        <x:v>6831</x:v>
      </x:c>
      <x:c r="J19" s="23" t="str">
        <x:v>12345618</x:v>
      </x:c>
      <x:c r="K19" s="23" t="str">
        <x:v>2025</x:v>
      </x:c>
      <x:c r="L19" s="23" t="str">
        <x:v>website|document|media</x:v>
      </x:c>
      <x:c r="M19" s="23" t="str">
        <x:v>Team kan medewerkers en aangesloten makelaars mengen</x:v>
      </x:c>
      <x:c r="N19" s="23" t="str">
        <x:v>4</x:v>
      </x:c>
      <x:c r="O19" s="25" t="str"/>
      <x:c r="P19" s="25" t="str"/>
      <x:c r="Q19" s="25" t="str"/>
      <x:c r="R19" s="25" t="str">
        <x:v>needs_review</x:v>
      </x:c>
      <x:c r="S19" s="25" t="str">
        <x:v>pending_review</x:v>
      </x:c>
      <x:c r="T19" s="25" t="str"/>
      <x:c r="U19" s="25" t="str"/>
      <x:c r="V19" s="25" t="str">
        <x:v>Oud cijfer uitsluitend als onderzoekshint</x:v>
      </x:c>
      <x:c r="W19" s="25" t="str"/>
      <x:c r="X19" s="25" t="str"/>
    </x:row>
    <x:row r="20" ht="30" customHeight="1">
      <x:c r="A20" s="23" t="str">
        <x:v>legacy-v019</x:v>
      </x:c>
      <x:c r="B20" s="23" t="str">
        <x:v>legacy_mixed</x:v>
      </x:c>
      <x:c r="C20" s="23" t="str">
        <x:v>detailhandel</x:v>
      </x:c>
      <x:c r="D20" s="23" t="str">
        <x:v>lokale_vestiging</x:v>
      </x:c>
      <x:c r="E20" s="23" t="str">
        <x:v>V019</x:v>
      </x:c>
      <x:c r="F20" s="23" t="str">
        <x:v>Poulissen Audio Video Center B.V.</x:v>
      </x:c>
      <x:c r="G20" s="23" t="str">
        <x:v>Roermond</x:v>
      </x:c>
      <x:c r="H20" s="23" t="str">
        <x:v>Neerstraat 40</x:v>
      </x:c>
      <x:c r="I20" s="23" t="str">
        <x:v>4743</x:v>
      </x:c>
      <x:c r="J20" s="23" t="str">
        <x:v>12345619</x:v>
      </x:c>
      <x:c r="K20" s="23" t="str">
        <x:v>2025</x:v>
      </x:c>
      <x:c r="L20" s="23" t="str">
        <x:v>website|document|media</x:v>
      </x:c>
      <x:c r="M20" s="23" t="str">
        <x:v>Website noemt mogelijk groep in plaats van winkel</x:v>
      </x:c>
      <x:c r="N20" s="23" t="str">
        <x:v>10</x:v>
      </x:c>
      <x:c r="O20" s="25" t="str"/>
      <x:c r="P20" s="25" t="str"/>
      <x:c r="Q20" s="25" t="str"/>
      <x:c r="R20" s="25" t="str">
        <x:v>needs_review</x:v>
      </x:c>
      <x:c r="S20" s="25" t="str">
        <x:v>pending_review</x:v>
      </x:c>
      <x:c r="T20" s="25" t="str"/>
      <x:c r="U20" s="25" t="str"/>
      <x:c r="V20" s="25" t="str">
        <x:v>Oud cijfer uitsluitend als onderzoekshint</x:v>
      </x:c>
      <x:c r="W20" s="25" t="str"/>
      <x:c r="X20" s="25" t="str"/>
    </x:row>
    <x:row r="21" ht="30" customHeight="1">
      <x:c r="A21" s="23" t="str">
        <x:v>legacy-v020</x:v>
      </x:c>
      <x:c r="B21" s="23" t="str">
        <x:v>legacy_mixed</x:v>
      </x:c>
      <x:c r="C21" s="23" t="str">
        <x:v>detailhandel</x:v>
      </x:c>
      <x:c r="D21" s="23" t="str">
        <x:v>filiaal</x:v>
      </x:c>
      <x:c r="E21" s="23" t="str">
        <x:v>V020</x:v>
      </x:c>
      <x:c r="F21" s="23" t="str">
        <x:v>IKEA Heerlen</x:v>
      </x:c>
      <x:c r="G21" s="23" t="str">
        <x:v>Heerlen</x:v>
      </x:c>
      <x:c r="H21" s="23" t="str">
        <x:v>In de Cramer 142</x:v>
      </x:c>
      <x:c r="I21" s="23" t="str">
        <x:v>4759</x:v>
      </x:c>
      <x:c r="J21" s="23" t="str">
        <x:v>30126095</x:v>
      </x:c>
      <x:c r="K21" s="23" t="str">
        <x:v>2025</x:v>
      </x:c>
      <x:c r="L21" s="23" t="str">
        <x:v>website|document|media</x:v>
      </x:c>
      <x:c r="M21" s="23" t="str">
        <x:v>Nieuwsgetal kan verouderd of vestigingsoverstijgend zijn</x:v>
      </x:c>
      <x:c r="N21" s="23" t="str">
        <x:v>400</x:v>
      </x:c>
      <x:c r="O21" s="25" t="str"/>
      <x:c r="P21" s="25" t="str"/>
      <x:c r="Q21" s="25" t="str"/>
      <x:c r="R21" s="25" t="str">
        <x:v>needs_review</x:v>
      </x:c>
      <x:c r="S21" s="25" t="str">
        <x:v>pending_review</x:v>
      </x:c>
      <x:c r="T21" s="25" t="str"/>
      <x:c r="U21" s="25" t="str"/>
      <x:c r="V21" s="25" t="str">
        <x:v>Oud cijfer uitsluitend als onderzoekshint</x:v>
      </x:c>
      <x:c r="W21" s="25" t="str"/>
      <x:c r="X21" s="25" t="str"/>
    </x:row>
    <x:row r="22" ht="30" customHeight="1">
      <x:c r="A22" s="23" t="str">
        <x:v>edu-po-enkel</x:v>
      </x:c>
      <x:c r="B22" s="23" t="str">
        <x:v>education</x:v>
      </x:c>
      <x:c r="C22" s="23" t="str">
        <x:v>onderwijs_po</x:v>
      </x:c>
      <x:c r="D22" s="23" t="str">
        <x:v>enkele_vestiging</x:v>
      </x:c>
      <x:c r="E22" s="23" t="str"/>
      <x:c r="F22" s="23" t="str">
        <x:v>Rooms Katholieke Basisschool De Zjwiek</x:v>
      </x:c>
      <x:c r="G22" s="23" t="str">
        <x:v>Leudal</x:v>
      </x:c>
      <x:c r="H22" s="23" t="str">
        <x:v>Beeklaan 3 Roggel</x:v>
      </x:c>
      <x:c r="I22" s="23" t="str">
        <x:v>85201</x:v>
      </x:c>
      <x:c r="J22" s="23" t="str"/>
      <x:c r="K22" s="23" t="str">
        <x:v>2025</x:v>
      </x:c>
      <x:c r="L22" s="23" t="str">
        <x:v>website|document|duo|media</x:v>
      </x:c>
      <x:c r="M22" s="23" t="str">
        <x:v>DUO-personen hebben een eigen definitie</x:v>
      </x:c>
      <x:c r="N22" s="23" t="str">
        <x:v>29</x:v>
      </x:c>
      <x:c r="O22" s="25" t="str"/>
      <x:c r="P22" s="25" t="str">
        <x:v>onderwijspersoneel_personen</x:v>
      </x:c>
      <x:c r="Q22" s="25" t="str">
        <x:v>vestiging</x:v>
      </x:c>
      <x:c r="R22" s="25" t="str">
        <x:v>needs_review</x:v>
      </x:c>
      <x:c r="S22" s="25" t="str">
        <x:v>pending_review</x:v>
      </x:c>
      <x:c r="T22" s="25" t="str"/>
      <x:c r="U22" s="25" t="str"/>
      <x:c r="V22" s="25" t="str">
        <x:v>Instellingscode 03HL</x:v>
      </x:c>
      <x:c r="W22" s="25" t="str"/>
      <x:c r="X22" s="25" t="str"/>
    </x:row>
    <x:row r="23" ht="30" customHeight="1">
      <x:c r="A23" s="23" t="str">
        <x:v>edu-vo-enkel</x:v>
      </x:c>
      <x:c r="B23" s="23" t="str">
        <x:v>education</x:v>
      </x:c>
      <x:c r="C23" s="23" t="str">
        <x:v>onderwijs_vo</x:v>
      </x:c>
      <x:c r="D23" s="23" t="str">
        <x:v>enkele_vestiging</x:v>
      </x:c>
      <x:c r="E23" s="23" t="str"/>
      <x:c r="F23" s="23" t="str">
        <x:v>Praktijkonderwijs Roermond</x:v>
      </x:c>
      <x:c r="G23" s="23" t="str">
        <x:v>Roermond</x:v>
      </x:c>
      <x:c r="H23" s="23" t="str">
        <x:v>Heinsbergerweg 184 Roermond</x:v>
      </x:c>
      <x:c r="I23" s="23" t="str">
        <x:v>85311</x:v>
      </x:c>
      <x:c r="J23" s="23" t="str"/>
      <x:c r="K23" s="23" t="str">
        <x:v>2025</x:v>
      </x:c>
      <x:c r="L23" s="23" t="str">
        <x:v>website|document|duo|media</x:v>
      </x:c>
      <x:c r="M23" s="23" t="str">
        <x:v>DUO-personen hebben een eigen definitie</x:v>
      </x:c>
      <x:c r="N23" s="23" t="str">
        <x:v>35</x:v>
      </x:c>
      <x:c r="O23" s="25" t="str"/>
      <x:c r="P23" s="25" t="str">
        <x:v>onderwijspersoneel_personen</x:v>
      </x:c>
      <x:c r="Q23" s="25" t="str">
        <x:v>vestiging</x:v>
      </x:c>
      <x:c r="R23" s="25" t="str">
        <x:v>needs_review</x:v>
      </x:c>
      <x:c r="S23" s="25" t="str">
        <x:v>pending_review</x:v>
      </x:c>
      <x:c r="T23" s="25" t="str"/>
      <x:c r="U23" s="25" t="str"/>
      <x:c r="V23" s="25" t="str">
        <x:v>Instellingscode 23HH</x:v>
      </x:c>
      <x:c r="W23" s="25" t="str"/>
      <x:c r="X23" s="25" t="str"/>
    </x:row>
    <x:row r="24" ht="30" customHeight="1">
      <x:c r="A24" s="23" t="str">
        <x:v>edu-vo-meervestiging</x:v>
      </x:c>
      <x:c r="B24" s="23" t="str">
        <x:v>education</x:v>
      </x:c>
      <x:c r="C24" s="23" t="str">
        <x:v>onderwijs_vo</x:v>
      </x:c>
      <x:c r="D24" s="23" t="str">
        <x:v>multilocatie</x:v>
      </x:c>
      <x:c r="E24" s="23" t="str"/>
      <x:c r="F24" s="23" t="str">
        <x:v>Mundium College</x:v>
      </x:c>
      <x:c r="G24" s="23" t="str">
        <x:v>Roermond</x:v>
      </x:c>
      <x:c r="H24" s="23" t="str">
        <x:v>Jagerstraat 6 Roermond</x:v>
      </x:c>
      <x:c r="I24" s="23" t="str">
        <x:v>85202</x:v>
      </x:c>
      <x:c r="J24" s="23" t="str"/>
      <x:c r="K24" s="23" t="str">
        <x:v>2025</x:v>
      </x:c>
      <x:c r="L24" s="23" t="str">
        <x:v>website|document|duo|media</x:v>
      </x:c>
      <x:c r="M24" s="23" t="str">
        <x:v>Instellingscijfer hoort bij meerdere Limburgse vestigingen</x:v>
      </x:c>
      <x:c r="N24" s="23" t="str">
        <x:v>338</x:v>
      </x:c>
      <x:c r="O24" s="25" t="str"/>
      <x:c r="P24" s="25" t="str">
        <x:v>onderwijspersoneel_personen</x:v>
      </x:c>
      <x:c r="Q24" s="25" t="str">
        <x:v>limburg</x:v>
      </x:c>
      <x:c r="R24" s="25" t="str">
        <x:v>needs_review</x:v>
      </x:c>
      <x:c r="S24" s="25" t="str">
        <x:v>pending_review</x:v>
      </x:c>
      <x:c r="T24" s="25" t="str"/>
      <x:c r="U24" s="25" t="str"/>
      <x:c r="V24" s="25" t="str">
        <x:v>Instellingscode 03XF</x:v>
      </x:c>
      <x:c r="W24" s="25" t="str"/>
      <x:c r="X24" s="25" t="str"/>
    </x:row>
    <x:row r="25" ht="30" customHeight="1">
      <x:c r="A25" s="23" t="str">
        <x:v>edu-vo-groep</x:v>
      </x:c>
      <x:c r="B25" s="23" t="str">
        <x:v>education</x:v>
      </x:c>
      <x:c r="C25" s="23" t="str">
        <x:v>onderwijs_vo</x:v>
      </x:c>
      <x:c r="D25" s="23" t="str">
        <x:v>onderwijsgroep</x:v>
      </x:c>
      <x:c r="E25" s="23" t="str"/>
      <x:c r="F25" s="23" t="str">
        <x:v>Trevianum Scholengroep</x:v>
      </x:c>
      <x:c r="G25" s="23" t="str">
        <x:v>Sittard-Geleen</x:v>
      </x:c>
      <x:c r="H25" s="23" t="str">
        <x:v>Bradleystraat 25 Sittard</x:v>
      </x:c>
      <x:c r="I25" s="23" t="str">
        <x:v>85202</x:v>
      </x:c>
      <x:c r="J25" s="23" t="str"/>
      <x:c r="K25" s="23" t="str">
        <x:v>2025</x:v>
      </x:c>
      <x:c r="L25" s="23" t="str">
        <x:v>website|document|duo|media</x:v>
      </x:c>
      <x:c r="M25" s="23" t="str">
        <x:v>Meerdere instellingscodes nooit blind optellen</x:v>
      </x:c>
      <x:c r="N25" s="23" t="str"/>
      <x:c r="O25" s="25" t="str"/>
      <x:c r="P25" s="25" t="str">
        <x:v>onderwijspersoneel_personen</x:v>
      </x:c>
      <x:c r="Q25" s="25" t="str">
        <x:v>limburg</x:v>
      </x:c>
      <x:c r="R25" s="25" t="str">
        <x:v>needs_review</x:v>
      </x:c>
      <x:c r="S25" s="25" t="str">
        <x:v>pending_review</x:v>
      </x:c>
      <x:c r="T25" s="25" t="str"/>
      <x:c r="U25" s="25" t="str"/>
      <x:c r="V25" s="25" t="str">
        <x:v>Instellingscodes 01MO 04DS 07BQ</x:v>
      </x:c>
      <x:c r="W25" s="25" t="str"/>
      <x:c r="X25" s="25" t="str"/>
    </x:row>
    <x:row r="26" ht="30" customHeight="1">
      <x:c r="A26" s="23" t="str">
        <x:v>edu-mbo-vista</x:v>
      </x:c>
      <x:c r="B26" s="23" t="str">
        <x:v>education</x:v>
      </x:c>
      <x:c r="C26" s="23" t="str">
        <x:v>onderwijs_mbo</x:v>
      </x:c>
      <x:c r="D26" s="23" t="str">
        <x:v>instelling</x:v>
      </x:c>
      <x:c r="E26" s="23" t="str"/>
      <x:c r="F26" s="23" t="str">
        <x:v>VISTA College</x:v>
      </x:c>
      <x:c r="G26" s="23" t="str">
        <x:v>Maastricht</x:v>
      </x:c>
      <x:c r="H26" s="23" t="str">
        <x:v>Sibemaweg 20 Maastricht</x:v>
      </x:c>
      <x:c r="I26" s="23" t="str">
        <x:v>85342</x:v>
      </x:c>
      <x:c r="J26" s="23" t="str"/>
      <x:c r="K26" s="23" t="str">
        <x:v>2025</x:v>
      </x:c>
      <x:c r="L26" s="23" t="str">
        <x:v>website|document|duo|media</x:v>
      </x:c>
      <x:c r="M26" s="23" t="str">
        <x:v>Instellingswaarde is niet per leslocatie</x:v>
      </x:c>
      <x:c r="N26" s="23" t="str">
        <x:v>1370</x:v>
      </x:c>
      <x:c r="O26" s="25" t="str"/>
      <x:c r="P26" s="25" t="str">
        <x:v>onderwijspersoneel_personen</x:v>
      </x:c>
      <x:c r="Q26" s="25" t="str">
        <x:v>instelling</x:v>
      </x:c>
      <x:c r="R26" s="25" t="str">
        <x:v>needs_review</x:v>
      </x:c>
      <x:c r="S26" s="25" t="str">
        <x:v>pending_review</x:v>
      </x:c>
      <x:c r="T26" s="25" t="str"/>
      <x:c r="U26" s="25" t="str"/>
      <x:c r="V26" s="25" t="str">
        <x:v>Instellingscode 25PL</x:v>
      </x:c>
      <x:c r="W26" s="25" t="str"/>
      <x:c r="X26" s="25" t="str"/>
    </x:row>
    <x:row r="27" ht="30" customHeight="1">
      <x:c r="A27" s="23" t="str">
        <x:v>edu-mbo-gilde</x:v>
      </x:c>
      <x:c r="B27" s="23" t="str">
        <x:v>education</x:v>
      </x:c>
      <x:c r="C27" s="23" t="str">
        <x:v>onderwijs_mbo</x:v>
      </x:c>
      <x:c r="D27" s="23" t="str">
        <x:v>instelling</x:v>
      </x:c>
      <x:c r="E27" s="23" t="str"/>
      <x:c r="F27" s="23" t="str">
        <x:v>Gilde Opleidingen</x:v>
      </x:c>
      <x:c r="G27" s="23" t="str">
        <x:v>Roermond</x:v>
      </x:c>
      <x:c r="H27" s="23" t="str">
        <x:v>Bredeweg 235 Roermond</x:v>
      </x:c>
      <x:c r="I27" s="23" t="str">
        <x:v>85342</x:v>
      </x:c>
      <x:c r="J27" s="23" t="str"/>
      <x:c r="K27" s="23" t="str">
        <x:v>2025</x:v>
      </x:c>
      <x:c r="L27" s="23" t="str">
        <x:v>website|document|duo|media</x:v>
      </x:c>
      <x:c r="M27" s="23" t="str">
        <x:v>Instellingswaarde is niet per leslocatie</x:v>
      </x:c>
      <x:c r="N27" s="23" t="str">
        <x:v>1023</x:v>
      </x:c>
      <x:c r="O27" s="25" t="str"/>
      <x:c r="P27" s="25" t="str">
        <x:v>onderwijspersoneel_personen</x:v>
      </x:c>
      <x:c r="Q27" s="25" t="str">
        <x:v>instelling</x:v>
      </x:c>
      <x:c r="R27" s="25" t="str">
        <x:v>needs_review</x:v>
      </x:c>
      <x:c r="S27" s="25" t="str">
        <x:v>pending_review</x:v>
      </x:c>
      <x:c r="T27" s="25" t="str"/>
      <x:c r="U27" s="25" t="str"/>
      <x:c r="V27" s="25" t="str">
        <x:v>Instellingscode 25LT</x:v>
      </x:c>
      <x:c r="W27" s="25" t="str"/>
      <x:c r="X27" s="25" t="str"/>
    </x:row>
    <x:row r="28" ht="30" customHeight="1">
      <x:c r="A28" s="23" t="str">
        <x:v>edu-ho-maastricht</x:v>
      </x:c>
      <x:c r="B28" s="23" t="str">
        <x:v>education</x:v>
      </x:c>
      <x:c r="C28" s="23" t="str">
        <x:v>onderwijs_ho</x:v>
      </x:c>
      <x:c r="D28" s="23" t="str">
        <x:v>instelling</x:v>
      </x:c>
      <x:c r="E28" s="23" t="str"/>
      <x:c r="F28" s="23" t="str">
        <x:v>Maastricht University</x:v>
      </x:c>
      <x:c r="G28" s="23" t="str">
        <x:v>Maastricht</x:v>
      </x:c>
      <x:c r="H28" s="23" t="str">
        <x:v>Minderbroedersberg 4 Maastricht</x:v>
      </x:c>
      <x:c r="I28" s="23" t="str">
        <x:v>85421</x:v>
      </x:c>
      <x:c r="J28" s="23" t="str"/>
      <x:c r="K28" s="23" t="str">
        <x:v>2025</x:v>
      </x:c>
      <x:c r="L28" s="23" t="str">
        <x:v>website|document|duo|media</x:v>
      </x:c>
      <x:c r="M28" s="23" t="str">
        <x:v>Geen vergelijkbare directe DUO-personeelsbron voor HO</x:v>
      </x:c>
      <x:c r="N28" s="23" t="str"/>
      <x:c r="O28" s="25" t="str"/>
      <x:c r="P28" s="25" t="str"/>
      <x:c r="Q28" s="25" t="str">
        <x:v>onbekend</x:v>
      </x:c>
      <x:c r="R28" s="25" t="str">
        <x:v>needs_review</x:v>
      </x:c>
      <x:c r="S28" s="25" t="str">
        <x:v>pending_review</x:v>
      </x:c>
      <x:c r="T28" s="25" t="str"/>
      <x:c r="U28" s="25" t="str"/>
      <x:c r="V28" s="25" t="str">
        <x:v>Negatieve sectorspecifieke routecase</x:v>
      </x:c>
      <x:c r="W28" s="25" t="str"/>
      <x:c r="X28" s="25" t="str"/>
    </x:row>
    <x:row r="29" ht="30" customHeight="1">
      <x:c r="A29" s="23" t="str">
        <x:v>formal-ou</x:v>
      </x:c>
      <x:c r="B29" s="23" t="str">
        <x:v>formal_documents</x:v>
      </x:c>
      <x:c r="C29" s="23" t="str">
        <x:v>onderwijs_ho</x:v>
      </x:c>
      <x:c r="D29" s="23" t="str">
        <x:v>organisatie</x:v>
      </x:c>
      <x:c r="E29" s="23" t="str"/>
      <x:c r="F29" s="23" t="str">
        <x:v>Open Universiteit</x:v>
      </x:c>
      <x:c r="G29" s="23" t="str"/>
      <x:c r="H29" s="23" t="str"/>
      <x:c r="I29" s="23" t="str"/>
      <x:c r="J29" s="23" t="str"/>
      <x:c r="K29" s="23" t="str">
        <x:v>2024</x:v>
      </x:c>
      <x:c r="L29" s="23" t="str">
        <x:v>website|document|duo|media</x:v>
      </x:c>
      <x:c r="M29" s="23" t="str">
        <x:v>Publicatiejaar kan N+1 zijn</x:v>
      </x:c>
      <x:c r="N29" s="23" t="str"/>
      <x:c r="O29" s="25" t="str"/>
      <x:c r="P29" s="25" t="str"/>
      <x:c r="Q29" s="25" t="str">
        <x:v>concern</x:v>
      </x:c>
      <x:c r="R29" s="25" t="str">
        <x:v>needs_review</x:v>
      </x:c>
      <x:c r="S29" s="25" t="str">
        <x:v>pending_review</x:v>
      </x:c>
      <x:c r="T29" s="25" t="str"/>
      <x:c r="U29" s="25" t="str"/>
      <x:c r="V29" s="25" t="str">
        <x:v>Bestaande bronnenbenchmark</x:v>
      </x:c>
      <x:c r="W29" s="25" t="str"/>
      <x:c r="X29" s="25" t="str"/>
    </x:row>
    <x:row r="30" ht="30" customHeight="1">
      <x:c r="A30" s="23" t="str">
        <x:v>formal-servatius</x:v>
      </x:c>
      <x:c r="B30" s="23" t="str">
        <x:v>formal_documents</x:v>
      </x:c>
      <x:c r="C30" s="23" t="str">
        <x:v>woningcorporatie</x:v>
      </x:c>
      <x:c r="D30" s="23" t="str">
        <x:v>organisatie</x:v>
      </x:c>
      <x:c r="E30" s="23" t="str"/>
      <x:c r="F30" s="23" t="str">
        <x:v>Woningstichting Servatius</x:v>
      </x:c>
      <x:c r="G30" s="23" t="str"/>
      <x:c r="H30" s="23" t="str"/>
      <x:c r="I30" s="23" t="str"/>
      <x:c r="J30" s="23" t="str"/>
      <x:c r="K30" s="23" t="str">
        <x:v>2025</x:v>
      </x:c>
      <x:c r="L30" s="23" t="str">
        <x:v>website|document|media</x:v>
      </x:c>
      <x:c r="M30" s="23" t="str">
        <x:v>Formeel document kan alleen concernscope hebben</x:v>
      </x:c>
      <x:c r="N30" s="23" t="str"/>
      <x:c r="O30" s="25" t="str"/>
      <x:c r="P30" s="25" t="str"/>
      <x:c r="Q30" s="25" t="str">
        <x:v>concern</x:v>
      </x:c>
      <x:c r="R30" s="25" t="str">
        <x:v>needs_review</x:v>
      </x:c>
      <x:c r="S30" s="25" t="str">
        <x:v>pending_review</x:v>
      </x:c>
      <x:c r="T30" s="25" t="str"/>
      <x:c r="U30" s="25" t="str"/>
      <x:c r="V30" s="25" t="str">
        <x:v>Bestaande bronnenbenchmark</x:v>
      </x:c>
      <x:c r="W30" s="25" t="str"/>
      <x:c r="X30" s="25" t="str"/>
    </x:row>
    <x:row r="31" ht="30" customHeight="1">
      <x:c r="A31" s="23" t="str">
        <x:v>formal-um</x:v>
      </x:c>
      <x:c r="B31" s="23" t="str">
        <x:v>formal_documents</x:v>
      </x:c>
      <x:c r="C31" s="23" t="str">
        <x:v>onderwijs_ho</x:v>
      </x:c>
      <x:c r="D31" s="23" t="str">
        <x:v>organisatie</x:v>
      </x:c>
      <x:c r="E31" s="23" t="str"/>
      <x:c r="F31" s="23" t="str">
        <x:v>Maastricht University</x:v>
      </x:c>
      <x:c r="G31" s="23" t="str"/>
      <x:c r="H31" s="23" t="str"/>
      <x:c r="I31" s="23" t="str"/>
      <x:c r="J31" s="23" t="str"/>
      <x:c r="K31" s="23" t="str">
        <x:v>2024</x:v>
      </x:c>
      <x:c r="L31" s="23" t="str">
        <x:v>website|document|duo|media</x:v>
      </x:c>
      <x:c r="M31" s="23" t="str">
        <x:v>Overlap met onderwijsroute en publicatiejaar N+1</x:v>
      </x:c>
      <x:c r="N31" s="23" t="str"/>
      <x:c r="O31" s="25" t="str"/>
      <x:c r="P31" s="25" t="str"/>
      <x:c r="Q31" s="25" t="str">
        <x:v>concern</x:v>
      </x:c>
      <x:c r="R31" s="25" t="str">
        <x:v>needs_review</x:v>
      </x:c>
      <x:c r="S31" s="25" t="str">
        <x:v>pending_review</x:v>
      </x:c>
      <x:c r="T31" s="25" t="str"/>
      <x:c r="U31" s="25" t="str"/>
      <x:c r="V31" s="25" t="str">
        <x:v>Bestaande bronnenbenchmark</x:v>
      </x:c>
      <x:c r="W31" s="25" t="str"/>
      <x:c r="X31" s="25" t="str"/>
    </x:row>
    <x:row r="32" ht="30" customHeight="1">
      <x:c r="A32" s="23" t="str">
        <x:v>formal-zuyd</x:v>
      </x:c>
      <x:c r="B32" s="23" t="str">
        <x:v>formal_documents</x:v>
      </x:c>
      <x:c r="C32" s="23" t="str">
        <x:v>onderwijs_ho</x:v>
      </x:c>
      <x:c r="D32" s="23" t="str">
        <x:v>organisatie</x:v>
      </x:c>
      <x:c r="E32" s="23" t="str"/>
      <x:c r="F32" s="23" t="str">
        <x:v>Zuyd Hogeschool</x:v>
      </x:c>
      <x:c r="G32" s="23" t="str"/>
      <x:c r="H32" s="23" t="str"/>
      <x:c r="I32" s="23" t="str"/>
      <x:c r="J32" s="23" t="str"/>
      <x:c r="K32" s="23" t="str">
        <x:v>2024</x:v>
      </x:c>
      <x:c r="L32" s="23" t="str">
        <x:v>website|document|duo|media</x:v>
      </x:c>
      <x:c r="M32" s="23" t="str">
        <x:v>Instellingsscope versus afzonderlijke locaties</x:v>
      </x:c>
      <x:c r="N32" s="23" t="str"/>
      <x:c r="O32" s="25" t="str"/>
      <x:c r="P32" s="25" t="str"/>
      <x:c r="Q32" s="25" t="str">
        <x:v>concern</x:v>
      </x:c>
      <x:c r="R32" s="25" t="str">
        <x:v>needs_review</x:v>
      </x:c>
      <x:c r="S32" s="25" t="str">
        <x:v>pending_review</x:v>
      </x:c>
      <x:c r="T32" s="25" t="str"/>
      <x:c r="U32" s="25" t="str"/>
      <x:c r="V32" s="25" t="str">
        <x:v>Bestaande bronnenbenchmark</x:v>
      </x:c>
      <x:c r="W32" s="25" t="str"/>
      <x:c r="X32" s="25" t="str"/>
    </x:row>
    <x:row r="33" ht="30" customHeight="1">
      <x:c r="A33" s="23" t="str">
        <x:v>formal-puntwelzijn</x:v>
      </x:c>
      <x:c r="B33" s="23" t="str">
        <x:v>formal_documents</x:v>
      </x:c>
      <x:c r="C33" s="23" t="str">
        <x:v>welzijn</x:v>
      </x:c>
      <x:c r="D33" s="23" t="str">
        <x:v>organisatie</x:v>
      </x:c>
      <x:c r="E33" s="23" t="str"/>
      <x:c r="F33" s="23" t="str">
        <x:v>Stichting Punt Welzijn</x:v>
      </x:c>
      <x:c r="G33" s="23" t="str"/>
      <x:c r="H33" s="23" t="str"/>
      <x:c r="I33" s="23" t="str"/>
      <x:c r="J33" s="23" t="str"/>
      <x:c r="K33" s="23" t="str">
        <x:v>2024</x:v>
      </x:c>
      <x:c r="L33" s="23" t="str">
        <x:v>website|document|media</x:v>
      </x:c>
      <x:c r="M33" s="23" t="str">
        <x:v>Kleine organisatie met formeel document</x:v>
      </x:c>
      <x:c r="N33" s="23" t="str"/>
      <x:c r="O33" s="25" t="str"/>
      <x:c r="P33" s="25" t="str"/>
      <x:c r="Q33" s="25" t="str">
        <x:v>concern</x:v>
      </x:c>
      <x:c r="R33" s="25" t="str">
        <x:v>needs_review</x:v>
      </x:c>
      <x:c r="S33" s="25" t="str">
        <x:v>pending_review</x:v>
      </x:c>
      <x:c r="T33" s="25" t="str"/>
      <x:c r="U33" s="25" t="str"/>
      <x:c r="V33" s="25" t="str">
        <x:v>Bestaande bronnenbenchmark</x:v>
      </x:c>
      <x:c r="W33" s="25" t="str"/>
      <x:c r="X33" s="25" t="str"/>
    </x:row>
    <x:row r="34" ht="30" customHeight="1">
      <x:c r="A34" s="23" t="str">
        <x:v>formal-dynagroup</x:v>
      </x:c>
      <x:c r="B34" s="23" t="str">
        <x:v>formal_documents</x:v>
      </x:c>
      <x:c r="C34" s="23" t="str">
        <x:v>zakelijke_dienstverlening</x:v>
      </x:c>
      <x:c r="D34" s="23" t="str">
        <x:v>organisatie</x:v>
      </x:c>
      <x:c r="E34" s="23" t="str"/>
      <x:c r="F34" s="23" t="str">
        <x:v>DynaGroup B.V.</x:v>
      </x:c>
      <x:c r="G34" s="23" t="str"/>
      <x:c r="H34" s="23" t="str"/>
      <x:c r="I34" s="23" t="str"/>
      <x:c r="J34" s="23" t="str"/>
      <x:c r="K34" s="23" t="str">
        <x:v>2023</x:v>
      </x:c>
      <x:c r="L34" s="23" t="str">
        <x:v>website|document|media</x:v>
      </x:c>
      <x:c r="M34" s="23" t="str">
        <x:v>HTML-jaarverslag in plaats van PDF</x:v>
      </x:c>
      <x:c r="N34" s="23" t="str"/>
      <x:c r="O34" s="25" t="str"/>
      <x:c r="P34" s="25" t="str"/>
      <x:c r="Q34" s="25" t="str">
        <x:v>concern</x:v>
      </x:c>
      <x:c r="R34" s="25" t="str">
        <x:v>needs_review</x:v>
      </x:c>
      <x:c r="S34" s="25" t="str">
        <x:v>pending_review</x:v>
      </x:c>
      <x:c r="T34" s="25" t="str"/>
      <x:c r="U34" s="25" t="str"/>
      <x:c r="V34" s="25" t="str">
        <x:v>Bestaande bronnenbenchmark</x:v>
      </x:c>
      <x:c r="W34" s="25" t="str"/>
      <x:c r="X34" s="25" t="str"/>
    </x:row>
    <x:row r="35" ht="30" customHeight="1">
      <x:c r="A35" s="23" t="str">
        <x:v>formal-aviko</x:v>
      </x:c>
      <x:c r="B35" s="23" t="str">
        <x:v>formal_documents</x:v>
      </x:c>
      <x:c r="C35" s="23" t="str">
        <x:v>industrie</x:v>
      </x:c>
      <x:c r="D35" s="23" t="str">
        <x:v>concern</x:v>
      </x:c>
      <x:c r="E35" s="23" t="str"/>
      <x:c r="F35" s="23" t="str">
        <x:v>Aviko Lomm</x:v>
      </x:c>
      <x:c r="G35" s="23" t="str"/>
      <x:c r="H35" s="23" t="str"/>
      <x:c r="I35" s="23" t="str"/>
      <x:c r="J35" s="23" t="str"/>
      <x:c r="K35" s="23" t="str">
        <x:v>2025</x:v>
      </x:c>
      <x:c r="L35" s="23" t="str">
        <x:v>website|document|media</x:v>
      </x:c>
      <x:c r="M35" s="23" t="str">
        <x:v>Publicatiepagina verwijst naar groepsrapport</x:v>
      </x:c>
      <x:c r="N35" s="23" t="str"/>
      <x:c r="O35" s="25" t="str"/>
      <x:c r="P35" s="25" t="str"/>
      <x:c r="Q35" s="25" t="str">
        <x:v>concern</x:v>
      </x:c>
      <x:c r="R35" s="25" t="str">
        <x:v>needs_review</x:v>
      </x:c>
      <x:c r="S35" s="25" t="str">
        <x:v>pending_review</x:v>
      </x:c>
      <x:c r="T35" s="25" t="str"/>
      <x:c r="U35" s="25" t="str"/>
      <x:c r="V35" s="25" t="str">
        <x:v>Bestaande bronnenbenchmark</x:v>
      </x:c>
      <x:c r="W35" s="25" t="str"/>
      <x:c r="X35" s="25" t="str"/>
    </x:row>
    <x:row r="36" ht="30" customHeight="1">
      <x:c r="A36" s="23" t="str">
        <x:v>formal-philadelphia</x:v>
      </x:c>
      <x:c r="B36" s="23" t="str">
        <x:v>formal_documents</x:v>
      </x:c>
      <x:c r="C36" s="23" t="str">
        <x:v>zorg_institutioneel</x:v>
      </x:c>
      <x:c r="D36" s="23" t="str">
        <x:v>organisatie</x:v>
      </x:c>
      <x:c r="E36" s="23" t="str"/>
      <x:c r="F36" s="23" t="str">
        <x:v>Stichting Philadelphia</x:v>
      </x:c>
      <x:c r="G36" s="23" t="str"/>
      <x:c r="H36" s="23" t="str"/>
      <x:c r="I36" s="23" t="str"/>
      <x:c r="J36" s="23" t="str"/>
      <x:c r="K36" s="23" t="str">
        <x:v>2025</x:v>
      </x:c>
      <x:c r="L36" s="23" t="str">
        <x:v>website|document|digimv|media</x:v>
      </x:c>
      <x:c r="M36" s="23" t="str">
        <x:v>Zorggroep met document- en DigiMV-route</x:v>
      </x:c>
      <x:c r="N36" s="23" t="str"/>
      <x:c r="O36" s="25" t="str"/>
      <x:c r="P36" s="25" t="str"/>
      <x:c r="Q36" s="25" t="str">
        <x:v>concern</x:v>
      </x:c>
      <x:c r="R36" s="25" t="str">
        <x:v>needs_review</x:v>
      </x:c>
      <x:c r="S36" s="25" t="str">
        <x:v>pending_review</x:v>
      </x:c>
      <x:c r="T36" s="25" t="str"/>
      <x:c r="U36" s="25" t="str"/>
      <x:c r="V36" s="25" t="str">
        <x:v>Bestaande bronnenbenchmark</x:v>
      </x:c>
      <x:c r="W36" s="25" t="str"/>
      <x:c r="X36" s="25" t="str"/>
    </x:row>
    <x:row r="37" ht="30" customHeight="1">
      <x:c r="A37" s="23" t="str">
        <x:v>care-kraamzorg-west</x:v>
      </x:c>
      <x:c r="B37" s="23" t="str">
        <x:v>care_branches</x:v>
      </x:c>
      <x:c r="C37" s="23" t="str">
        <x:v>zorg_thuiszorg</x:v>
      </x:c>
      <x:c r="D37" s="23" t="str">
        <x:v>regio</x:v>
      </x:c>
      <x:c r="E37" s="23" t="str">
        <x:v>685445220</x:v>
      </x:c>
      <x:c r="F37" s="23" t="str">
        <x:v>Groene Kruis Kraamzorg - Regio Westelijke Mijnstreek</x:v>
      </x:c>
      <x:c r="G37" s="23" t="str"/>
      <x:c r="H37" s="23" t="str"/>
      <x:c r="I37" s="23" t="str"/>
      <x:c r="J37" s="23" t="str"/>
      <x:c r="K37" s="23" t="str">
        <x:v>2025</x:v>
      </x:c>
      <x:c r="L37" s="23" t="str">
        <x:v>website|document|digimv|media</x:v>
      </x:c>
      <x:c r="M37" s="23" t="str">
        <x:v>Regioteam op organisatiebrede website</x:v>
      </x:c>
      <x:c r="N37" s="23" t="str"/>
      <x:c r="O37" s="25" t="str"/>
      <x:c r="P37" s="25" t="str"/>
      <x:c r="Q37" s="25" t="str"/>
      <x:c r="R37" s="25" t="str">
        <x:v>needs_review</x:v>
      </x:c>
      <x:c r="S37" s="25" t="str">
        <x:v>pending_review</x:v>
      </x:c>
      <x:c r="T37" s="25" t="str"/>
      <x:c r="U37" s="25" t="str"/>
      <x:c r="V37" s="25" t="str">
        <x:v>Echte productiecase</x:v>
      </x:c>
      <x:c r="W37" s="25" t="str"/>
      <x:c r="X37" s="25" t="str"/>
    </x:row>
    <x:row r="38" ht="30" customHeight="1">
      <x:c r="A38" s="23" t="str">
        <x:v>care-eldershof</x:v>
      </x:c>
      <x:c r="B38" s="23" t="str">
        <x:v>care_branches</x:v>
      </x:c>
      <x:c r="C38" s="23" t="str">
        <x:v>zorg_wonen</x:v>
      </x:c>
      <x:c r="D38" s="23" t="str">
        <x:v>lokale_vestiging</x:v>
      </x:c>
      <x:c r="E38" s="23" t="str">
        <x:v>670278420</x:v>
      </x:c>
      <x:c r="F38" s="23" t="str">
        <x:v>Groepswoningen Eldershof</x:v>
      </x:c>
      <x:c r="G38" s="23" t="str"/>
      <x:c r="H38" s="23" t="str"/>
      <x:c r="I38" s="23" t="str"/>
      <x:c r="J38" s="23" t="str"/>
      <x:c r="K38" s="23" t="str">
        <x:v>2025</x:v>
      </x:c>
      <x:c r="L38" s="23" t="str">
        <x:v>website|document|digimv|media</x:v>
      </x:c>
      <x:c r="M38" s="23" t="str">
        <x:v>Concernjaarverslag bevat geen vestigingsverdeling</x:v>
      </x:c>
      <x:c r="N38" s="23" t="str"/>
      <x:c r="O38" s="25" t="str"/>
      <x:c r="P38" s="25" t="str"/>
      <x:c r="Q38" s="25" t="str"/>
      <x:c r="R38" s="25" t="str">
        <x:v>needs_review</x:v>
      </x:c>
      <x:c r="S38" s="25" t="str">
        <x:v>pending_review</x:v>
      </x:c>
      <x:c r="T38" s="25" t="str"/>
      <x:c r="U38" s="25" t="str"/>
      <x:c r="V38" s="25" t="str">
        <x:v>Echte productiecase</x:v>
      </x:c>
      <x:c r="W38" s="25" t="str"/>
      <x:c r="X38" s="25" t="str"/>
    </x:row>
    <x:row r="39" ht="30" customHeight="1">
      <x:c r="A39" s="23" t="str">
        <x:v>care-amaliahof</x:v>
      </x:c>
      <x:c r="B39" s="23" t="str">
        <x:v>care_branches</x:v>
      </x:c>
      <x:c r="C39" s="23" t="str">
        <x:v>zorg_wonen</x:v>
      </x:c>
      <x:c r="D39" s="23" t="str">
        <x:v>lokale_vestiging</x:v>
      </x:c>
      <x:c r="E39" s="23" t="str">
        <x:v>655138023</x:v>
      </x:c>
      <x:c r="F39" s="23" t="str">
        <x:v>Woonzorgcentrum Amaliahof</x:v>
      </x:c>
      <x:c r="G39" s="23" t="str"/>
      <x:c r="H39" s="23" t="str"/>
      <x:c r="I39" s="23" t="str"/>
      <x:c r="J39" s="23" t="str"/>
      <x:c r="K39" s="23" t="str">
        <x:v>2025</x:v>
      </x:c>
      <x:c r="L39" s="23" t="str">
        <x:v>website|document|digimv|media</x:v>
      </x:c>
      <x:c r="M39" s="23" t="str">
        <x:v>Concerngetal kan onterecht als locatiegetal worden gebruikt</x:v>
      </x:c>
      <x:c r="N39" s="23" t="str"/>
      <x:c r="O39" s="25" t="str"/>
      <x:c r="P39" s="25" t="str"/>
      <x:c r="Q39" s="25" t="str"/>
      <x:c r="R39" s="25" t="str">
        <x:v>needs_review</x:v>
      </x:c>
      <x:c r="S39" s="25" t="str">
        <x:v>pending_review</x:v>
      </x:c>
      <x:c r="T39" s="25" t="str"/>
      <x:c r="U39" s="25" t="str"/>
      <x:c r="V39" s="25" t="str">
        <x:v>Echte productiecase</x:v>
      </x:c>
      <x:c r="W39" s="25" t="str"/>
      <x:c r="X39" s="25" t="str"/>
    </x:row>
    <x:row r="40" ht="30" customHeight="1">
      <x:c r="A40" s="23" t="str">
        <x:v>care-zorghotel-roermond</x:v>
      </x:c>
      <x:c r="B40" s="23" t="str">
        <x:v>care_branches</x:v>
      </x:c>
      <x:c r="C40" s="23" t="str">
        <x:v>zorg_revalidatie</x:v>
      </x:c>
      <x:c r="D40" s="23" t="str">
        <x:v>lokale_vestiging</x:v>
      </x:c>
      <x:c r="E40" s="23" t="str">
        <x:v>502085294</x:v>
      </x:c>
      <x:c r="F40" s="23" t="str">
        <x:v>Zorghotel Roermond B.V.</x:v>
      </x:c>
      <x:c r="G40" s="23" t="str"/>
      <x:c r="H40" s="23" t="str"/>
      <x:c r="I40" s="23" t="str"/>
      <x:c r="J40" s="23" t="str"/>
      <x:c r="K40" s="23" t="str">
        <x:v>2025</x:v>
      </x:c>
      <x:c r="L40" s="23" t="str">
        <x:v>website|document|digimv|media</x:v>
      </x:c>
      <x:c r="M40" s="23" t="str">
        <x:v>Meerdere concerncijfers met verschillende peilmomenten</x:v>
      </x:c>
      <x:c r="N40" s="23" t="str"/>
      <x:c r="O40" s="25" t="str"/>
      <x:c r="P40" s="25" t="str"/>
      <x:c r="Q40" s="25" t="str"/>
      <x:c r="R40" s="25" t="str">
        <x:v>needs_review</x:v>
      </x:c>
      <x:c r="S40" s="25" t="str">
        <x:v>pending_review</x:v>
      </x:c>
      <x:c r="T40" s="25" t="str"/>
      <x:c r="U40" s="25" t="str"/>
      <x:c r="V40" s="25" t="str">
        <x:v>Echte productiecase</x:v>
      </x:c>
      <x:c r="W40" s="25" t="str"/>
      <x:c r="X40" s="25" t="str"/>
    </x:row>
    <x:row r="41" ht="30" customHeight="1">
      <x:c r="A41" s="23" t="str">
        <x:v>care-witte-steen</x:v>
      </x:c>
      <x:c r="B41" s="23" t="str">
        <x:v>care_branches</x:v>
      </x:c>
      <x:c r="C41" s="23" t="str">
        <x:v>zorg_dagbesteding</x:v>
      </x:c>
      <x:c r="D41" s="23" t="str">
        <x:v>lokale_vestiging</x:v>
      </x:c>
      <x:c r="E41" s="23" t="str">
        <x:v>111071706</x:v>
      </x:c>
      <x:c r="F41" s="23" t="str">
        <x:v>De Witte Steen - Activiteitencentrum</x:v>
      </x:c>
      <x:c r="G41" s="23" t="str"/>
      <x:c r="H41" s="23" t="str"/>
      <x:c r="I41" s="23" t="str"/>
      <x:c r="J41" s="23" t="str"/>
      <x:c r="K41" s="23" t="str">
        <x:v>2025</x:v>
      </x:c>
      <x:c r="L41" s="23" t="str">
        <x:v>website|document|digimv|media</x:v>
      </x:c>
      <x:c r="M41" s="23" t="str">
        <x:v>Locatiepagina zonder expliciet personeelsgetal</x:v>
      </x:c>
      <x:c r="N41" s="23" t="str"/>
      <x:c r="O41" s="25" t="str"/>
      <x:c r="P41" s="25" t="str"/>
      <x:c r="Q41" s="25" t="str"/>
      <x:c r="R41" s="25" t="str">
        <x:v>needs_review</x:v>
      </x:c>
      <x:c r="S41" s="25" t="str">
        <x:v>pending_review</x:v>
      </x:c>
      <x:c r="T41" s="25" t="str"/>
      <x:c r="U41" s="25" t="str"/>
      <x:c r="V41" s="25" t="str">
        <x:v>Echte productiecase</x:v>
      </x:c>
      <x:c r="W41" s="25" t="str"/>
      <x:c r="X41" s="25" t="str"/>
    </x:row>
    <x:row r="42" ht="30" customHeight="1">
      <x:c r="A42" s="23" t="str">
        <x:v>care-revalidatie-venray</x:v>
      </x:c>
      <x:c r="B42" s="23" t="str">
        <x:v>care_branches</x:v>
      </x:c>
      <x:c r="C42" s="23" t="str">
        <x:v>zorg_revalidatie</x:v>
      </x:c>
      <x:c r="D42" s="23" t="str">
        <x:v>lokale_vestiging</x:v>
      </x:c>
      <x:c r="E42" s="23" t="str">
        <x:v>670310820</x:v>
      </x:c>
      <x:c r="F42" s="23" t="str">
        <x:v>Revalidatiekliniek Noord-Limburg - Venray</x:v>
      </x:c>
      <x:c r="G42" s="23" t="str"/>
      <x:c r="H42" s="23" t="str"/>
      <x:c r="I42" s="23" t="str"/>
      <x:c r="J42" s="23" t="str"/>
      <x:c r="K42" s="23" t="str">
        <x:v>2025</x:v>
      </x:c>
      <x:c r="L42" s="23" t="str">
        <x:v>website|document|digimv|media</x:v>
      </x:c>
      <x:c r="M42" s="23" t="str">
        <x:v>Meerdere PDF's en een klein fout-positief getal</x:v>
      </x:c>
      <x:c r="N42" s="23" t="str"/>
      <x:c r="O42" s="25" t="str"/>
      <x:c r="P42" s="25" t="str"/>
      <x:c r="Q42" s="25" t="str"/>
      <x:c r="R42" s="25" t="str">
        <x:v>needs_review</x:v>
      </x:c>
      <x:c r="S42" s="25" t="str">
        <x:v>pending_review</x:v>
      </x:c>
      <x:c r="T42" s="25" t="str"/>
      <x:c r="U42" s="25" t="str"/>
      <x:c r="V42" s="25" t="str">
        <x:v>Echte productiecase</x:v>
      </x:c>
      <x:c r="W42" s="25" t="str"/>
      <x:c r="X42" s="25" t="str"/>
    </x:row>
    <x:row r="43" ht="30" customHeight="1">
      <x:c r="A43" s="23" t="str">
        <x:v>care-zorggroep-concern</x:v>
      </x:c>
      <x:c r="B43" s="23" t="str">
        <x:v>care_branches</x:v>
      </x:c>
      <x:c r="C43" s="23" t="str">
        <x:v>zorg_institutioneel</x:v>
      </x:c>
      <x:c r="D43" s="23" t="str">
        <x:v>concern</x:v>
      </x:c>
      <x:c r="E43" s="23" t="str">
        <x:v>111361717</x:v>
      </x:c>
      <x:c r="F43" s="23" t="str">
        <x:v>Stichting Zorggroep Noord- en Midden-Limburg</x:v>
      </x:c>
      <x:c r="G43" s="23" t="str"/>
      <x:c r="H43" s="23" t="str"/>
      <x:c r="I43" s="23" t="str"/>
      <x:c r="J43" s="23" t="str"/>
      <x:c r="K43" s="23" t="str">
        <x:v>2025</x:v>
      </x:c>
      <x:c r="L43" s="23" t="str">
        <x:v>website|document|digimv|media</x:v>
      </x:c>
      <x:c r="M43" s="23" t="str">
        <x:v>Concerncase als contrast met dochtervestigingen</x:v>
      </x:c>
      <x:c r="N43" s="23" t="str"/>
      <x:c r="O43" s="25" t="str"/>
      <x:c r="P43" s="25" t="str"/>
      <x:c r="Q43" s="25" t="str">
        <x:v>concern</x:v>
      </x:c>
      <x:c r="R43" s="25" t="str">
        <x:v>needs_review</x:v>
      </x:c>
      <x:c r="S43" s="25" t="str">
        <x:v>pending_review</x:v>
      </x:c>
      <x:c r="T43" s="25" t="str"/>
      <x:c r="U43" s="25" t="str"/>
      <x:c r="V43" s="25" t="str">
        <x:v>Echte productiecase</x:v>
      </x:c>
      <x:c r="W43" s="25" t="str"/>
      <x:c r="X43" s="25" t="str"/>
    </x:row>
    <x:row r="44" ht="30" customHeight="1">
      <x:c r="A44" s="23" t="str">
        <x:v>care-groenling</x:v>
      </x:c>
      <x:c r="B44" s="23" t="str">
        <x:v>care_branches</x:v>
      </x:c>
      <x:c r="C44" s="23" t="str">
        <x:v>zorg_kinderopvang</x:v>
      </x:c>
      <x:c r="D44" s="23" t="str">
        <x:v>lokale_vestiging</x:v>
      </x:c>
      <x:c r="E44" s="23" t="str">
        <x:v>718797420</x:v>
      </x:c>
      <x:c r="F44" s="23" t="str">
        <x:v>De Groenling</x:v>
      </x:c>
      <x:c r="G44" s="23" t="str"/>
      <x:c r="H44" s="23" t="str"/>
      <x:c r="I44" s="23" t="str"/>
      <x:c r="J44" s="23" t="str"/>
      <x:c r="K44" s="23" t="str">
        <x:v>2025</x:v>
      </x:c>
      <x:c r="L44" s="23" t="str">
        <x:v>website|document|digimv|media</x:v>
      </x:c>
      <x:c r="M44" s="23" t="str">
        <x:v>Lokaal teamgetal naast oude onderwijsjaarverslagen</x:v>
      </x:c>
      <x:c r="N44" s="23" t="str"/>
      <x:c r="O44" s="25" t="str"/>
      <x:c r="P44" s="25" t="str"/>
      <x:c r="Q44" s="25" t="str"/>
      <x:c r="R44" s="25" t="str">
        <x:v>needs_review</x:v>
      </x:c>
      <x:c r="S44" s="25" t="str">
        <x:v>pending_review</x:v>
      </x:c>
      <x:c r="T44" s="25" t="str"/>
      <x:c r="U44" s="25" t="str"/>
      <x:c r="V44" s="25" t="str">
        <x:v>Echte productiecase</x:v>
      </x:c>
      <x:c r="W44" s="25" t="str"/>
      <x:c r="X44" s="25" t="str"/>
    </x:row>
    <x:row r="45" ht="30" customHeight="1">
      <x:c r="A45" s="23" t="str">
        <x:v>care-hospice-ark</x:v>
      </x:c>
      <x:c r="B45" s="23" t="str">
        <x:v>care_branches</x:v>
      </x:c>
      <x:c r="C45" s="23" t="str">
        <x:v>zorg_hospice</x:v>
      </x:c>
      <x:c r="D45" s="23" t="str">
        <x:v>lokale_vestiging</x:v>
      </x:c>
      <x:c r="E45" s="23" t="str">
        <x:v>670291626</x:v>
      </x:c>
      <x:c r="F45" s="23" t="str">
        <x:v>Hospice de Ark</x:v>
      </x:c>
      <x:c r="G45" s="23" t="str"/>
      <x:c r="H45" s="23" t="str"/>
      <x:c r="I45" s="23" t="str"/>
      <x:c r="J45" s="23" t="str"/>
      <x:c r="K45" s="23" t="str">
        <x:v>2025</x:v>
      </x:c>
      <x:c r="L45" s="23" t="str">
        <x:v>website|document|digimv|media</x:v>
      </x:c>
      <x:c r="M45" s="23" t="str">
        <x:v>Concernbron zonder lokaal getal</x:v>
      </x:c>
      <x:c r="N45" s="23" t="str"/>
      <x:c r="O45" s="25" t="str"/>
      <x:c r="P45" s="25" t="str"/>
      <x:c r="Q45" s="25" t="str"/>
      <x:c r="R45" s="25" t="str">
        <x:v>needs_review</x:v>
      </x:c>
      <x:c r="S45" s="25" t="str">
        <x:v>pending_review</x:v>
      </x:c>
      <x:c r="T45" s="25" t="str"/>
      <x:c r="U45" s="25" t="str"/>
      <x:c r="V45" s="25" t="str">
        <x:v>Echte productiecase</x:v>
      </x:c>
      <x:c r="W45" s="25" t="str"/>
      <x:c r="X45" s="25" t="str"/>
    </x:row>
    <x:row r="46" ht="30" customHeight="1">
      <x:c r="A46" s="23" t="str">
        <x:v>care-hospice-mariaweide</x:v>
      </x:c>
      <x:c r="B46" s="23" t="str">
        <x:v>care_branches</x:v>
      </x:c>
      <x:c r="C46" s="23" t="str">
        <x:v>zorg_hospice</x:v>
      </x:c>
      <x:c r="D46" s="23" t="str">
        <x:v>lokale_vestiging</x:v>
      </x:c>
      <x:c r="E46" s="23" t="str">
        <x:v>670292223</x:v>
      </x:c>
      <x:c r="F46" s="23" t="str">
        <x:v>Hospice Mariaweide</x:v>
      </x:c>
      <x:c r="G46" s="23" t="str"/>
      <x:c r="H46" s="23" t="str"/>
      <x:c r="I46" s="23" t="str"/>
      <x:c r="J46" s="23" t="str"/>
      <x:c r="K46" s="23" t="str">
        <x:v>2024</x:v>
      </x:c>
      <x:c r="L46" s="23" t="str">
        <x:v>website|document|digimv|media</x:v>
      </x:c>
      <x:c r="M46" s="23" t="str">
        <x:v>Jaarverslag noemt mogelijk medewerkers en vrijwilligers</x:v>
      </x:c>
      <x:c r="N46" s="23" t="str"/>
      <x:c r="O46" s="25" t="str"/>
      <x:c r="P46" s="25" t="str"/>
      <x:c r="Q46" s="25" t="str"/>
      <x:c r="R46" s="25" t="str">
        <x:v>needs_review</x:v>
      </x:c>
      <x:c r="S46" s="25" t="str">
        <x:v>pending_review</x:v>
      </x:c>
      <x:c r="T46" s="25" t="str"/>
      <x:c r="U46" s="25" t="str"/>
      <x:c r="V46" s="25" t="str">
        <x:v>Echte productiecase</x:v>
      </x:c>
      <x:c r="W46" s="25" t="str"/>
      <x:c r="X46" s="25" t="str"/>
    </x:row>
    <x:row r="47" ht="30" customHeight="1">
      <x:c r="A47" s="23" t="str">
        <x:v>care-team-echt-zuid</x:v>
      </x:c>
      <x:c r="B47" s="23" t="str">
        <x:v>care_branches</x:v>
      </x:c>
      <x:c r="C47" s="23" t="str">
        <x:v>zorg_thuiszorg</x:v>
      </x:c>
      <x:c r="D47" s="23" t="str">
        <x:v>lokaal_team</x:v>
      </x:c>
      <x:c r="E47" s="23" t="str">
        <x:v>789452820</x:v>
      </x:c>
      <x:c r="F47" s="23" t="str">
        <x:v>Groene Kruis Wijkverpleging, Team Echt Zuid</x:v>
      </x:c>
      <x:c r="G47" s="23" t="str"/>
      <x:c r="H47" s="23" t="str"/>
      <x:c r="I47" s="23" t="str"/>
      <x:c r="J47" s="23" t="str"/>
      <x:c r="K47" s="23" t="str">
        <x:v>2025</x:v>
      </x:c>
      <x:c r="L47" s="23" t="str">
        <x:v>website|document|digimv|media</x:v>
      </x:c>
      <x:c r="M47" s="23" t="str">
        <x:v>Teamroute versus concernjaarverslag</x:v>
      </x:c>
      <x:c r="N47" s="23" t="str"/>
      <x:c r="O47" s="25" t="str"/>
      <x:c r="P47" s="25" t="str"/>
      <x:c r="Q47" s="25" t="str"/>
      <x:c r="R47" s="25" t="str">
        <x:v>needs_review</x:v>
      </x:c>
      <x:c r="S47" s="25" t="str">
        <x:v>pending_review</x:v>
      </x:c>
      <x:c r="T47" s="25" t="str"/>
      <x:c r="U47" s="25" t="str"/>
      <x:c r="V47" s="25" t="str">
        <x:v>Echte productiecase</x:v>
      </x:c>
      <x:c r="W47" s="25" t="str"/>
      <x:c r="X47" s="25" t="str"/>
    </x:row>
    <x:row r="48" ht="30" customHeight="1">
      <x:c r="A48" s="23" t="str">
        <x:v>care-valdere</x:v>
      </x:c>
      <x:c r="B48" s="23" t="str">
        <x:v>care_branches</x:v>
      </x:c>
      <x:c r="C48" s="23" t="str">
        <x:v>zorg_wonen</x:v>
      </x:c>
      <x:c r="D48" s="23" t="str">
        <x:v>lokale_vestiging</x:v>
      </x:c>
      <x:c r="E48" s="23" t="str">
        <x:v>670297026</x:v>
      </x:c>
      <x:c r="F48" s="23" t="str">
        <x:v>Woonzorgcentrum 't Valdere</x:v>
      </x:c>
      <x:c r="G48" s="23" t="str"/>
      <x:c r="H48" s="23" t="str"/>
      <x:c r="I48" s="23" t="str"/>
      <x:c r="J48" s="23" t="str"/>
      <x:c r="K48" s="23" t="str">
        <x:v>2025</x:v>
      </x:c>
      <x:c r="L48" s="23" t="str">
        <x:v>website|document|digimv|media</x:v>
      </x:c>
      <x:c r="M48" s="23" t="str">
        <x:v>Jaarrekening van bredere stichting kan verkeerd worden toegedeeld</x:v>
      </x:c>
      <x:c r="N48" s="23" t="str"/>
      <x:c r="O48" s="25" t="str"/>
      <x:c r="P48" s="25" t="str"/>
      <x:c r="Q48" s="25" t="str"/>
      <x:c r="R48" s="25" t="str">
        <x:v>needs_review</x:v>
      </x:c>
      <x:c r="S48" s="25" t="str">
        <x:v>pending_review</x:v>
      </x:c>
      <x:c r="T48" s="25" t="str"/>
      <x:c r="U48" s="25" t="str"/>
      <x:c r="V48" s="25" t="str">
        <x:v>Echte productiecase</x:v>
      </x:c>
      <x:c r="W48" s="25" t="str"/>
      <x:c r="X48" s="25" t="str"/>
    </x:row>
    <x:row r="49" ht="30" customHeight="1">
      <x:c r="A49" s="23" t="str">
        <x:v>care-psychogeriatrie-venray</x:v>
      </x:c>
      <x:c r="B49" s="23" t="str">
        <x:v>care_branches</x:v>
      </x:c>
      <x:c r="C49" s="23" t="str">
        <x:v>zorg_expertisecentrum</x:v>
      </x:c>
      <x:c r="D49" s="23" t="str">
        <x:v>lokale_vestiging</x:v>
      </x:c>
      <x:c r="E49" s="23" t="str">
        <x:v>812635626</x:v>
      </x:c>
      <x:c r="F49" s="23" t="str">
        <x:v>Integr. Expert.centr. Psychogeriatrie Venray</x:v>
      </x:c>
      <x:c r="G49" s="23" t="str"/>
      <x:c r="H49" s="23" t="str"/>
      <x:c r="I49" s="23" t="str"/>
      <x:c r="J49" s="23" t="str"/>
      <x:c r="K49" s="23" t="str">
        <x:v>2025</x:v>
      </x:c>
      <x:c r="L49" s="23" t="str">
        <x:v>website|document|digimv|media</x:v>
      </x:c>
      <x:c r="M49" s="23" t="str">
        <x:v>Afkorting en oude website bemoeilijken identiteit</x:v>
      </x:c>
      <x:c r="N49" s="23" t="str"/>
      <x:c r="O49" s="25" t="str"/>
      <x:c r="P49" s="25" t="str"/>
      <x:c r="Q49" s="25" t="str"/>
      <x:c r="R49" s="25" t="str">
        <x:v>needs_review</x:v>
      </x:c>
      <x:c r="S49" s="25" t="str">
        <x:v>pending_review</x:v>
      </x:c>
      <x:c r="T49" s="25" t="str"/>
      <x:c r="U49" s="25" t="str"/>
      <x:c r="V49" s="25" t="str">
        <x:v>Echte productiecase</x:v>
      </x:c>
      <x:c r="W49" s="25" t="str"/>
      <x:c r="X49" s="25" t="str"/>
    </x:row>
    <x:row r="50" ht="30" customHeight="1">
      <x:c r="A50" s="23" t="str">
        <x:v>care-hospice-franciscus</x:v>
      </x:c>
      <x:c r="B50" s="23" t="str">
        <x:v>care_branches</x:v>
      </x:c>
      <x:c r="C50" s="23" t="str">
        <x:v>zorg_hospice</x:v>
      </x:c>
      <x:c r="D50" s="23" t="str">
        <x:v>lokale_vestiging</x:v>
      </x:c>
      <x:c r="E50" s="23" t="str">
        <x:v>670292820</x:v>
      </x:c>
      <x:c r="F50" s="23" t="str">
        <x:v>Hospice Franciscus</x:v>
      </x:c>
      <x:c r="G50" s="23" t="str"/>
      <x:c r="H50" s="23" t="str"/>
      <x:c r="I50" s="23" t="str"/>
      <x:c r="J50" s="23" t="str"/>
      <x:c r="K50" s="23" t="str">
        <x:v>2025</x:v>
      </x:c>
      <x:c r="L50" s="23" t="str">
        <x:v>website|document|digimv|media</x:v>
      </x:c>
      <x:c r="M50" s="23" t="str">
        <x:v>Bewuste no-result case uit productie</x:v>
      </x:c>
      <x:c r="N50" s="23" t="str"/>
      <x:c r="O50" s="25" t="str"/>
      <x:c r="P50" s="25" t="str"/>
      <x:c r="Q50" s="25" t="str"/>
      <x:c r="R50" s="25" t="str">
        <x:v>needs_review</x:v>
      </x:c>
      <x:c r="S50" s="25" t="str">
        <x:v>pending_review</x:v>
      </x:c>
      <x:c r="T50" s="25" t="str"/>
      <x:c r="U50" s="25" t="str"/>
      <x:c r="V50" s="25" t="str">
        <x:v>Echte productiecase zonder kandidaten</x:v>
      </x:c>
      <x:c r="W50" s="25" t="str"/>
      <x:c r="X50" s="25" t="str"/>
    </x:row>
    <x:row r="51" ht="30" customHeight="1">
      <x:c r="A51" s="24" t="str">
        <x:v>care-piushof-b2</x:v>
      </x:c>
      <x:c r="B51" s="24" t="str">
        <x:v>care_branches</x:v>
      </x:c>
      <x:c r="C51" s="24" t="str">
        <x:v>zorg_wonen</x:v>
      </x:c>
      <x:c r="D51" s="24" t="str">
        <x:v>lokale_vestiging</x:v>
      </x:c>
      <x:c r="E51" s="24" t="str">
        <x:v>727716420</x:v>
      </x:c>
      <x:c r="F51" s="24" t="str">
        <x:v>Groepswoning Piushof B 2</x:v>
      </x:c>
      <x:c r="G51" s="24" t="str"/>
      <x:c r="H51" s="24" t="str"/>
      <x:c r="I51" s="24" t="str"/>
      <x:c r="J51" s="24" t="str"/>
      <x:c r="K51" s="24" t="str">
        <x:v>2025</x:v>
      </x:c>
      <x:c r="L51" s="24" t="str">
        <x:v>website|document|digimv|media</x:v>
      </x:c>
      <x:c r="M51" s="24" t="str">
        <x:v>Bewuste no-result en zeer specifieke sublocatie</x:v>
      </x:c>
      <x:c r="N51" s="24" t="str"/>
      <x:c r="O51" s="26" t="str"/>
      <x:c r="P51" s="26" t="str"/>
      <x:c r="Q51" s="26" t="str"/>
      <x:c r="R51" s="26" t="str">
        <x:v>needs_review</x:v>
      </x:c>
      <x:c r="S51" s="26" t="str">
        <x:v>pending_review</x:v>
      </x:c>
      <x:c r="T51" s="26" t="str"/>
      <x:c r="U51" s="26" t="str"/>
      <x:c r="V51" s="26" t="str">
        <x:v>Echte productiecase zonder kandidaten</x:v>
      </x:c>
      <x:c r="W51" s="26" t="str"/>
      <x:c r="X51" s="26" t="str"/>
    </x:row>
  </x:sheetData>
  <x:conditionalFormatting sqref="S2:S51">
    <x:cfRule type="expression" dxfId="0" priority="1">
      <x:formula>S2="verified"</x:formula>
    </x:cfRule>
    <x:cfRule type="expression" dxfId="1" priority="2">
      <x:formula>S2="excluded"</x:formula>
    </x:cfRule>
  </x:conditionalFormatting>
  <x:dataValidations count="5">
    <x:dataValidation type="list" sqref="P2:P51">
      <x:formula1>"workzame_personen,onderwijspersoneel_personen,fte,onbekend"</x:formula1>
    </x:dataValidation>
    <x:dataValidation type="list" sqref="Q2:Q51">
      <x:formula1>"vestiging,limburg,instelling,nederland,concern,onbekend"</x:formula1>
    </x:dataValidation>
    <x:dataValidation type="list" sqref="R2:R51">
      <x:formula1>"needs_review,exact_value,context_only,no_public_result"</x:formula1>
    </x:dataValidation>
    <x:dataValidation type="list" sqref="S2:S51">
      <x:formula1>"pending_review,verified,excluded"</x:formula1>
    </x:dataValidation>
    <x:dataValidation type="list" sqref="W2:W51">
      <x:formula1>"eenduidig,twijfelachtig,onduidelijk"</x:formula1>
    </x:dataValidation>
  </x:dataValidations>
  <x:pageMargins left="0.7" right="0.7" top="0.75" bottom="0.75" header="0.3" footer="0.3"/>
  <x:tableParts count="1">
    <x:tablePart xmlns:r="http://schemas.openxmlformats.org/officeDocument/2006/relationships" r:id="R016aedc038ce454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52" hidden="0" customWidth="1"/>
    <x:col min="5" max="5" width="20" hidden="0" customWidth="1"/>
    <x:col min="6" max="6" width="20" hidden="0" customWidth="1"/>
    <x:col min="7" max="7" width="20" hidden="0" customWidth="1"/>
    <x:col min="8" max="8" width="20" hidden="0" customWidth="1"/>
    <x:col min="9" max="9" width="18" hidden="0" customWidth="1"/>
    <x:col min="10" max="10" width="18" hidden="0" customWidth="1"/>
    <x:col min="11" max="11" width="34" hidden="0" customWidth="1"/>
    <x:col min="12" max="12" width="34" hidden="0" customWidth="1"/>
  </x:cols>
  <x:sheetData>
    <x:row r="1" ht="42" customHeight="1">
      <x:c r="A1" s="18" t="str">
        <x:v>source_id</x:v>
      </x:c>
      <x:c r="B1" s="18" t="str">
        <x:v>case_id</x:v>
      </x:c>
      <x:c r="C1" s="18" t="str">
        <x:v>source_role</x:v>
      </x:c>
      <x:c r="D1" s="18" t="str">
        <x:v>url</x:v>
      </x:c>
      <x:c r="E1" s="18" t="str">
        <x:v>brontype_hint</x:v>
      </x:c>
      <x:c r="F1" s="18" t="str">
        <x:v>wp_hint</x:v>
      </x:c>
      <x:c r="G1" s="18" t="str">
        <x:v>unit_hint</x:v>
      </x:c>
      <x:c r="H1" s="18" t="str">
        <x:v>scope_hint</x:v>
      </x:c>
      <x:c r="I1" s="18" t="str">
        <x:v>expected_usable</x:v>
      </x:c>
      <x:c r="J1" s="18" t="str">
        <x:v>verification_status</x:v>
      </x:c>
      <x:c r="K1" s="18" t="str">
        <x:v>rejection_reason</x:v>
      </x:c>
      <x:c r="L1" s="18" t="str">
        <x:v>notes</x:v>
      </x:c>
    </x:row>
    <x:row r="2" ht="30" customHeight="1">
      <x:c r="A2" s="23" t="str">
        <x:v>src-001</x:v>
      </x:c>
      <x:c r="B2" s="23" t="str">
        <x:v>legacy-v001</x:v>
      </x:c>
      <x:c r="C2" s="23" t="str">
        <x:v>candidate_seed</x:v>
      </x:c>
      <x:c r="D2" s="23" t="str">
        <x:v>https://www.mondriaan.eu</x:v>
      </x:c>
      <x:c r="E2" s="23" t="str">
        <x:v>officiele_website</x:v>
      </x:c>
      <x:c r="F2" s="23" t="str"/>
      <x:c r="G2" s="23" t="str"/>
      <x:c r="H2" s="23" t="str"/>
      <x:c r="I2" s="25" t="str"/>
      <x:c r="J2" s="25" t="str">
        <x:v>pending_review</x:v>
      </x:c>
      <x:c r="K2" s="25" t="str"/>
      <x:c r="L2" s="25" t="str">
        <x:v>Startpunt; zoek actuele onderliggende bron</x:v>
      </x:c>
    </x:row>
    <x:row r="3" ht="30" customHeight="1">
      <x:c r="A3" s="23" t="str">
        <x:v>src-002</x:v>
      </x:c>
      <x:c r="B3" s="23" t="str">
        <x:v>legacy-v002</x:v>
      </x:c>
      <x:c r="C3" s="23" t="str">
        <x:v>candidate_seed</x:v>
      </x:c>
      <x:c r="D3" s="23" t="str">
        <x:v>https://www.okechamp.nl</x:v>
      </x:c>
      <x:c r="E3" s="23" t="str">
        <x:v>officiele_website</x:v>
      </x:c>
      <x:c r="F3" s="23" t="str"/>
      <x:c r="G3" s="23" t="str"/>
      <x:c r="H3" s="23" t="str"/>
      <x:c r="I3" s="25" t="str"/>
      <x:c r="J3" s="25" t="str">
        <x:v>pending_review</x:v>
      </x:c>
      <x:c r="K3" s="25" t="str"/>
      <x:c r="L3" s="25" t="str">
        <x:v>Startpunt; zoek actuele onderliggende bron</x:v>
      </x:c>
    </x:row>
    <x:row r="4" ht="30" customHeight="1">
      <x:c r="A4" s="23" t="str">
        <x:v>src-003</x:v>
      </x:c>
      <x:c r="B4" s="23" t="str">
        <x:v>legacy-v003</x:v>
      </x:c>
      <x:c r="C4" s="23" t="str">
        <x:v>candidate_seed</x:v>
      </x:c>
      <x:c r="D4" s="23" t="str">
        <x:v>https://www.jumbo.com</x:v>
      </x:c>
      <x:c r="E4" s="23" t="str">
        <x:v>officiele_website</x:v>
      </x:c>
      <x:c r="F4" s="23" t="str"/>
      <x:c r="G4" s="23" t="str"/>
      <x:c r="H4" s="23" t="str"/>
      <x:c r="I4" s="25" t="str"/>
      <x:c r="J4" s="25" t="str">
        <x:v>pending_review</x:v>
      </x:c>
      <x:c r="K4" s="25" t="str"/>
      <x:c r="L4" s="25" t="str">
        <x:v>Controleer filiaalniveau</x:v>
      </x:c>
    </x:row>
    <x:row r="5" ht="30" customHeight="1">
      <x:c r="A5" s="23" t="str">
        <x:v>src-004</x:v>
      </x:c>
      <x:c r="B5" s="23" t="str">
        <x:v>legacy-v004</x:v>
      </x:c>
      <x:c r="C5" s="23" t="str">
        <x:v>candidate_seed</x:v>
      </x:c>
      <x:c r="D5" s="23" t="str">
        <x:v>https://www.pergamijn.org</x:v>
      </x:c>
      <x:c r="E5" s="23" t="str">
        <x:v>officiele_website</x:v>
      </x:c>
      <x:c r="F5" s="23" t="str"/>
      <x:c r="G5" s="23" t="str"/>
      <x:c r="H5" s="23" t="str"/>
      <x:c r="I5" s="25" t="str"/>
      <x:c r="J5" s="25" t="str">
        <x:v>pending_review</x:v>
      </x:c>
      <x:c r="K5" s="25" t="str"/>
      <x:c r="L5" s="25" t="str">
        <x:v>Controleer locatiescope</x:v>
      </x:c>
    </x:row>
    <x:row r="6" ht="30" customHeight="1">
      <x:c r="A6" s="23" t="str">
        <x:v>src-005</x:v>
      </x:c>
      <x:c r="B6" s="23" t="str">
        <x:v>legacy-v005</x:v>
      </x:c>
      <x:c r="C6" s="23" t="str">
        <x:v>candidate_seed</x:v>
      </x:c>
      <x:c r="D6" s="23" t="str">
        <x:v>https://www.ns.nl</x:v>
      </x:c>
      <x:c r="E6" s="23" t="str">
        <x:v>officiele_website</x:v>
      </x:c>
      <x:c r="F6" s="23" t="str"/>
      <x:c r="G6" s="23" t="str"/>
      <x:c r="H6" s="23" t="str"/>
      <x:c r="I6" s="25" t="str"/>
      <x:c r="J6" s="25" t="str">
        <x:v>pending_review</x:v>
      </x:c>
      <x:c r="K6" s="25" t="str"/>
      <x:c r="L6" s="25" t="str">
        <x:v>Controleer stationsscope</x:v>
      </x:c>
    </x:row>
    <x:row r="7" ht="30" customHeight="1">
      <x:c r="A7" s="23" t="str">
        <x:v>src-006</x:v>
      </x:c>
      <x:c r="B7" s="23" t="str">
        <x:v>legacy-v006</x:v>
      </x:c>
      <x:c r="C7" s="23" t="str">
        <x:v>candidate_seed</x:v>
      </x:c>
      <x:c r="D7" s="23" t="str">
        <x:v>https://www.vrln.nl</x:v>
      </x:c>
      <x:c r="E7" s="23" t="str">
        <x:v>officiele_website</x:v>
      </x:c>
      <x:c r="F7" s="23" t="str"/>
      <x:c r="G7" s="23" t="str"/>
      <x:c r="H7" s="23" t="str"/>
      <x:c r="I7" s="25" t="str"/>
      <x:c r="J7" s="25" t="str">
        <x:v>pending_review</x:v>
      </x:c>
      <x:c r="K7" s="25" t="str"/>
      <x:c r="L7" s="25" t="str">
        <x:v>Zoek jaarstukken en personeelsparagraaf</x:v>
      </x:c>
    </x:row>
    <x:row r="8" ht="30" customHeight="1">
      <x:c r="A8" s="23" t="str">
        <x:v>src-007</x:v>
      </x:c>
      <x:c r="B8" s="23" t="str">
        <x:v>legacy-v007</x:v>
      </x:c>
      <x:c r="C8" s="23" t="str">
        <x:v>candidate_seed</x:v>
      </x:c>
      <x:c r="D8" s="23" t="str">
        <x:v>https://www.zuyderland.nl</x:v>
      </x:c>
      <x:c r="E8" s="23" t="str">
        <x:v>officiele_website</x:v>
      </x:c>
      <x:c r="F8" s="23" t="str"/>
      <x:c r="G8" s="23" t="str"/>
      <x:c r="H8" s="23" t="str"/>
      <x:c r="I8" s="25" t="str"/>
      <x:c r="J8" s="25" t="str">
        <x:v>pending_review</x:v>
      </x:c>
      <x:c r="K8" s="25" t="str"/>
      <x:c r="L8" s="25" t="str">
        <x:v>Combineer niet blind met DigiMV-entiteiten</x:v>
      </x:c>
    </x:row>
    <x:row r="9" ht="30" customHeight="1">
      <x:c r="A9" s="23" t="str">
        <x:v>src-008</x:v>
      </x:c>
      <x:c r="B9" s="23" t="str">
        <x:v>legacy-v008</x:v>
      </x:c>
      <x:c r="C9" s="23" t="str">
        <x:v>candidate_seed</x:v>
      </x:c>
      <x:c r="D9" s="23" t="str">
        <x:v>https://www.dsm-firmenich.com</x:v>
      </x:c>
      <x:c r="E9" s="23" t="str">
        <x:v>officiele_website</x:v>
      </x:c>
      <x:c r="F9" s="23" t="str"/>
      <x:c r="G9" s="23" t="str"/>
      <x:c r="H9" s="23" t="str"/>
      <x:c r="I9" s="25" t="str"/>
      <x:c r="J9" s="25" t="str">
        <x:v>pending_review</x:v>
      </x:c>
      <x:c r="K9" s="25" t="str"/>
      <x:c r="L9" s="25" t="str">
        <x:v>Controleer Limburgse scope</x:v>
      </x:c>
    </x:row>
    <x:row r="10" ht="30" customHeight="1">
      <x:c r="A10" s="23" t="str">
        <x:v>src-009</x:v>
      </x:c>
      <x:c r="B10" s="23" t="str">
        <x:v>legacy-v009</x:v>
      </x:c>
      <x:c r="C10" s="23" t="str">
        <x:v>candidate_seed</x:v>
      </x:c>
      <x:c r="D10" s="23" t="str">
        <x:v>https://www.bam.com</x:v>
      </x:c>
      <x:c r="E10" s="23" t="str">
        <x:v>officiele_website</x:v>
      </x:c>
      <x:c r="F10" s="23" t="str"/>
      <x:c r="G10" s="23" t="str"/>
      <x:c r="H10" s="23" t="str"/>
      <x:c r="I10" s="25" t="str"/>
      <x:c r="J10" s="25" t="str">
        <x:v>pending_review</x:v>
      </x:c>
      <x:c r="K10" s="25" t="str"/>
      <x:c r="L10" s="25" t="str">
        <x:v>Controleer vestigingsidentiteit</x:v>
      </x:c>
    </x:row>
    <x:row r="11" ht="30" customHeight="1">
      <x:c r="A11" s="23" t="str">
        <x:v>src-010</x:v>
      </x:c>
      <x:c r="B11" s="23" t="str">
        <x:v>legacy-v010</x:v>
      </x:c>
      <x:c r="C11" s="23" t="str">
        <x:v>candidate_seed</x:v>
      </x:c>
      <x:c r="D11" s="23" t="str">
        <x:v>https://www.halluxpodotherapie.nl</x:v>
      </x:c>
      <x:c r="E11" s="23" t="str">
        <x:v>officiele_website</x:v>
      </x:c>
      <x:c r="F11" s="23" t="str"/>
      <x:c r="G11" s="23" t="str"/>
      <x:c r="H11" s="23" t="str"/>
      <x:c r="I11" s="25" t="str"/>
      <x:c r="J11" s="25" t="str">
        <x:v>pending_review</x:v>
      </x:c>
      <x:c r="K11" s="25" t="str"/>
      <x:c r="L11" s="25" t="str">
        <x:v>Team- en afspraakroute controleren</x:v>
      </x:c>
    </x:row>
    <x:row r="12" ht="30" customHeight="1">
      <x:c r="A12" s="23" t="str">
        <x:v>src-011</x:v>
      </x:c>
      <x:c r="B12" s="23" t="str">
        <x:v>legacy-v011</x:v>
      </x:c>
      <x:c r="C12" s="23" t="str">
        <x:v>candidate_seed</x:v>
      </x:c>
      <x:c r="D12" s="23" t="str">
        <x:v>https://www.salonhandmade.nl</x:v>
      </x:c>
      <x:c r="E12" s="23" t="str">
        <x:v>officiele_website</x:v>
      </x:c>
      <x:c r="F12" s="23" t="str"/>
      <x:c r="G12" s="23" t="str"/>
      <x:c r="H12" s="23" t="str"/>
      <x:c r="I12" s="25" t="str"/>
      <x:c r="J12" s="25" t="str">
        <x:v>pending_review</x:v>
      </x:c>
      <x:c r="K12" s="25" t="str"/>
      <x:c r="L12" s="25" t="str">
        <x:v>Team- en boekingsroute controleren</x:v>
      </x:c>
    </x:row>
    <x:row r="13" ht="30" customHeight="1">
      <x:c r="A13" s="23" t="str">
        <x:v>src-012</x:v>
      </x:c>
      <x:c r="B13" s="23" t="str">
        <x:v>legacy-v012</x:v>
      </x:c>
      <x:c r="C13" s="23" t="str">
        <x:v>candidate_seed</x:v>
      </x:c>
      <x:c r="D13" s="23" t="str">
        <x:v>https://www.orthodontieaandemaas.nl</x:v>
      </x:c>
      <x:c r="E13" s="23" t="str">
        <x:v>officiele_website</x:v>
      </x:c>
      <x:c r="F13" s="23" t="str"/>
      <x:c r="G13" s="23" t="str"/>
      <x:c r="H13" s="23" t="str"/>
      <x:c r="I13" s="25" t="str"/>
      <x:c r="J13" s="25" t="str">
        <x:v>pending_review</x:v>
      </x:c>
      <x:c r="K13" s="25" t="str"/>
      <x:c r="L13" s="25" t="str">
        <x:v>Teamfoto's en onderste paginadelen controleren</x:v>
      </x:c>
    </x:row>
    <x:row r="14" ht="30" customHeight="1">
      <x:c r="A14" s="23" t="str">
        <x:v>src-013</x:v>
      </x:c>
      <x:c r="B14" s="23" t="str">
        <x:v>legacy-v013</x:v>
      </x:c>
      <x:c r="C14" s="23" t="str">
        <x:v>candidate_seed</x:v>
      </x:c>
      <x:c r="D14" s="23" t="str">
        <x:v>https://www.huisartsenpraktijkhoensbroek.nl</x:v>
      </x:c>
      <x:c r="E14" s="23" t="str">
        <x:v>officiele_website</x:v>
      </x:c>
      <x:c r="F14" s="23" t="str"/>
      <x:c r="G14" s="23" t="str"/>
      <x:c r="H14" s="23" t="str"/>
      <x:c r="I14" s="25" t="str"/>
      <x:c r="J14" s="25" t="str">
        <x:v>pending_review</x:v>
      </x:c>
      <x:c r="K14" s="25" t="str"/>
      <x:c r="L14" s="25" t="str">
        <x:v>Adres en telefoon onafhankelijk bevestigen</x:v>
      </x:c>
    </x:row>
    <x:row r="15" ht="30" customHeight="1">
      <x:c r="A15" s="23" t="str">
        <x:v>src-014</x:v>
      </x:c>
      <x:c r="B15" s="23" t="str">
        <x:v>legacy-v014</x:v>
      </x:c>
      <x:c r="C15" s="23" t="str">
        <x:v>candidate_seed</x:v>
      </x:c>
      <x:c r="D15" s="23" t="str">
        <x:v>https://www.verloskundigenlimburg.nl</x:v>
      </x:c>
      <x:c r="E15" s="23" t="str">
        <x:v>officiele_website</x:v>
      </x:c>
      <x:c r="F15" s="23" t="str"/>
      <x:c r="G15" s="23" t="str"/>
      <x:c r="H15" s="23" t="str"/>
      <x:c r="I15" s="25" t="str"/>
      <x:c r="J15" s="25" t="str">
        <x:v>pending_review</x:v>
      </x:c>
      <x:c r="K15" s="25" t="str"/>
      <x:c r="L15" s="25" t="str">
        <x:v>Verdeling over locaties controleren</x:v>
      </x:c>
    </x:row>
    <x:row r="16" ht="30" customHeight="1">
      <x:c r="A16" s="23" t="str">
        <x:v>src-015</x:v>
      </x:c>
      <x:c r="B16" s="23" t="str">
        <x:v>legacy-v015</x:v>
      </x:c>
      <x:c r="C16" s="23" t="str">
        <x:v>candidate_seed</x:v>
      </x:c>
      <x:c r="D16" s="23" t="str">
        <x:v>https://www.dreessenadvocaten.nl</x:v>
      </x:c>
      <x:c r="E16" s="23" t="str">
        <x:v>officiele_website</x:v>
      </x:c>
      <x:c r="F16" s="23" t="str"/>
      <x:c r="G16" s="23" t="str"/>
      <x:c r="H16" s="23" t="str"/>
      <x:c r="I16" s="25" t="str"/>
      <x:c r="J16" s="25" t="str">
        <x:v>pending_review</x:v>
      </x:c>
      <x:c r="K16" s="25" t="str"/>
      <x:c r="L16" s="25" t="str">
        <x:v>Partners en medewerkers apart beoordelen</x:v>
      </x:c>
    </x:row>
    <x:row r="17" ht="30" customHeight="1">
      <x:c r="A17" s="23" t="str">
        <x:v>src-016</x:v>
      </x:c>
      <x:c r="B17" s="23" t="str">
        <x:v>legacy-v016</x:v>
      </x:c>
      <x:c r="C17" s="23" t="str">
        <x:v>candidate_seed</x:v>
      </x:c>
      <x:c r="D17" s="23" t="str">
        <x:v>https://www.fysiosittard.nl</x:v>
      </x:c>
      <x:c r="E17" s="23" t="str">
        <x:v>officiele_website</x:v>
      </x:c>
      <x:c r="F17" s="23" t="str"/>
      <x:c r="G17" s="23" t="str"/>
      <x:c r="H17" s="23" t="str"/>
      <x:c r="I17" s="25" t="str"/>
      <x:c r="J17" s="25" t="str">
        <x:v>pending_review</x:v>
      </x:c>
      <x:c r="K17" s="25" t="str"/>
      <x:c r="L17" s="25" t="str">
        <x:v>Zelfstandigen niet automatisch meetellen</x:v>
      </x:c>
    </x:row>
    <x:row r="18" ht="30" customHeight="1">
      <x:c r="A18" s="23" t="str">
        <x:v>src-017</x:v>
      </x:c>
      <x:c r="B18" s="23" t="str">
        <x:v>legacy-v017</x:v>
      </x:c>
      <x:c r="C18" s="23" t="str">
        <x:v>candidate_seed</x:v>
      </x:c>
      <x:c r="D18" s="23" t="str">
        <x:v>https://www.philipse-accountancy.nl</x:v>
      </x:c>
      <x:c r="E18" s="23" t="str">
        <x:v>officiele_website</x:v>
      </x:c>
      <x:c r="F18" s="23" t="str"/>
      <x:c r="G18" s="23" t="str"/>
      <x:c r="H18" s="23" t="str"/>
      <x:c r="I18" s="25" t="str"/>
      <x:c r="J18" s="25" t="str">
        <x:v>pending_review</x:v>
      </x:c>
      <x:c r="K18" s="25" t="str"/>
      <x:c r="L18" s="25" t="str">
        <x:v>Klein team handmatig tellen</x:v>
      </x:c>
    </x:row>
    <x:row r="19" ht="30" customHeight="1">
      <x:c r="A19" s="23" t="str">
        <x:v>src-018</x:v>
      </x:c>
      <x:c r="B19" s="23" t="str">
        <x:v>legacy-v018</x:v>
      </x:c>
      <x:c r="C19" s="23" t="str">
        <x:v>candidate_seed</x:v>
      </x:c>
      <x:c r="D19" s="23" t="str">
        <x:v>https://www.maasstreek.nl</x:v>
      </x:c>
      <x:c r="E19" s="23" t="str">
        <x:v>officiele_website</x:v>
      </x:c>
      <x:c r="F19" s="23" t="str"/>
      <x:c r="G19" s="23" t="str"/>
      <x:c r="H19" s="23" t="str"/>
      <x:c r="I19" s="25" t="str"/>
      <x:c r="J19" s="25" t="str">
        <x:v>pending_review</x:v>
      </x:c>
      <x:c r="K19" s="25" t="str"/>
      <x:c r="L19" s="25" t="str">
        <x:v>Aangesloten makelaars beoordelen</x:v>
      </x:c>
    </x:row>
    <x:row r="20" ht="30" customHeight="1">
      <x:c r="A20" s="23" t="str">
        <x:v>src-019</x:v>
      </x:c>
      <x:c r="B20" s="23" t="str">
        <x:v>legacy-v019</x:v>
      </x:c>
      <x:c r="C20" s="23" t="str">
        <x:v>candidate_seed</x:v>
      </x:c>
      <x:c r="D20" s="23" t="str">
        <x:v>https://www.poulissen.nl</x:v>
      </x:c>
      <x:c r="E20" s="23" t="str">
        <x:v>officiele_website</x:v>
      </x:c>
      <x:c r="F20" s="23" t="str"/>
      <x:c r="G20" s="23" t="str"/>
      <x:c r="H20" s="23" t="str"/>
      <x:c r="I20" s="25" t="str"/>
      <x:c r="J20" s="25" t="str">
        <x:v>pending_review</x:v>
      </x:c>
      <x:c r="K20" s="25" t="str"/>
      <x:c r="L20" s="25" t="str">
        <x:v>Vestiging versus groep controleren</x:v>
      </x:c>
    </x:row>
    <x:row r="21" ht="30" customHeight="1">
      <x:c r="A21" s="23" t="str">
        <x:v>src-020</x:v>
      </x:c>
      <x:c r="B21" s="23" t="str">
        <x:v>legacy-v020</x:v>
      </x:c>
      <x:c r="C21" s="23" t="str">
        <x:v>candidate_seed</x:v>
      </x:c>
      <x:c r="D21" s="23" t="str">
        <x:v>https://www.ikea.com/nl</x:v>
      </x:c>
      <x:c r="E21" s="23" t="str">
        <x:v>officiele_website</x:v>
      </x:c>
      <x:c r="F21" s="23" t="str"/>
      <x:c r="G21" s="23" t="str"/>
      <x:c r="H21" s="23" t="str"/>
      <x:c r="I21" s="25" t="str"/>
      <x:c r="J21" s="25" t="str">
        <x:v>pending_review</x:v>
      </x:c>
      <x:c r="K21" s="25" t="str"/>
      <x:c r="L21" s="25" t="str">
        <x:v>Zoek vestigingsspecifiek nieuws</x:v>
      </x:c>
    </x:row>
    <x:row r="22" ht="30" customHeight="1">
      <x:c r="A22" s="23" t="str">
        <x:v>src-021</x:v>
      </x:c>
      <x:c r="B22" s="23" t="str">
        <x:v>edu-po-enkel</x:v>
      </x:c>
      <x:c r="C22" s="23" t="str">
        <x:v>official_candidate</x:v>
      </x:c>
      <x:c r="D22" s="23" t="str">
        <x:v>https://duo.nl/open_onderwijsdata/primair-onderwijs/personeel/onderwijspersoneel-po-in-aantal-personen.jsp</x:v>
      </x:c>
      <x:c r="E22" s="23" t="str">
        <x:v>duo_personeel</x:v>
      </x:c>
      <x:c r="F22" s="23" t="str">
        <x:v>29</x:v>
      </x:c>
      <x:c r="G22" s="23" t="str">
        <x:v>onderwijspersoneel_personen</x:v>
      </x:c>
      <x:c r="H22" s="23" t="str">
        <x:v>vestiging</x:v>
      </x:c>
      <x:c r="I22" s="25" t="str"/>
      <x:c r="J22" s="25" t="str">
        <x:v>pending_review</x:v>
      </x:c>
      <x:c r="K22" s="25" t="str"/>
      <x:c r="L22" s="25" t="str">
        <x:v>Officiële DUO-bron; definitie bevestigen</x:v>
      </x:c>
    </x:row>
    <x:row r="23" ht="30" customHeight="1">
      <x:c r="A23" s="23" t="str">
        <x:v>src-022</x:v>
      </x:c>
      <x:c r="B23" s="23" t="str">
        <x:v>edu-po-enkel</x:v>
      </x:c>
      <x:c r="C23" s="23" t="str">
        <x:v>identity_candidate</x:v>
      </x:c>
      <x:c r="D23" s="23" t="str">
        <x:v>https://www.duo.nl/open_onderwijsdata/images/02.-alle-schoolvestigingen-basisonderwijs.csv</x:v>
      </x:c>
      <x:c r="E23" s="23" t="str">
        <x:v>duo_adressen</x:v>
      </x:c>
      <x:c r="F23" s="23" t="str"/>
      <x:c r="G23" s="23" t="str"/>
      <x:c r="H23" s="23" t="str"/>
      <x:c r="I23" s="25" t="str"/>
      <x:c r="J23" s="25" t="str">
        <x:v>pending_review</x:v>
      </x:c>
      <x:c r="K23" s="25" t="str"/>
      <x:c r="L23" s="25" t="str">
        <x:v>Identiteit via instellingscode 03HL</x:v>
      </x:c>
    </x:row>
    <x:row r="24" ht="30" customHeight="1">
      <x:c r="A24" s="23" t="str">
        <x:v>src-023</x:v>
      </x:c>
      <x:c r="B24" s="23" t="str">
        <x:v>edu-vo-enkel</x:v>
      </x:c>
      <x:c r="C24" s="23" t="str">
        <x:v>official_candidate</x:v>
      </x:c>
      <x:c r="D24" s="23" t="str">
        <x:v>https://duo.nl/open_onderwijsdata/voortgezet-onderwijs/personeel/in-aantal-personen.jsp</x:v>
      </x:c>
      <x:c r="E24" s="23" t="str">
        <x:v>duo_personeel</x:v>
      </x:c>
      <x:c r="F24" s="23" t="str">
        <x:v>35</x:v>
      </x:c>
      <x:c r="G24" s="23" t="str">
        <x:v>onderwijspersoneel_personen</x:v>
      </x:c>
      <x:c r="H24" s="23" t="str">
        <x:v>vestiging</x:v>
      </x:c>
      <x:c r="I24" s="25" t="str"/>
      <x:c r="J24" s="25" t="str">
        <x:v>pending_review</x:v>
      </x:c>
      <x:c r="K24" s="25" t="str"/>
      <x:c r="L24" s="25" t="str">
        <x:v>Officiële DUO-bron; definitie bevestigen</x:v>
      </x:c>
    </x:row>
    <x:row r="25" ht="30" customHeight="1">
      <x:c r="A25" s="23" t="str">
        <x:v>src-024</x:v>
      </x:c>
      <x:c r="B25" s="23" t="str">
        <x:v>edu-vo-enkel</x:v>
      </x:c>
      <x:c r="C25" s="23" t="str">
        <x:v>identity_candidate</x:v>
      </x:c>
      <x:c r="D25" s="23" t="str">
        <x:v>https://duo.nl/open_onderwijsdata/images/02.-alle-vestigingen-vo.csv</x:v>
      </x:c>
      <x:c r="E25" s="23" t="str">
        <x:v>duo_adressen</x:v>
      </x:c>
      <x:c r="F25" s="23" t="str"/>
      <x:c r="G25" s="23" t="str"/>
      <x:c r="H25" s="23" t="str"/>
      <x:c r="I25" s="25" t="str"/>
      <x:c r="J25" s="25" t="str">
        <x:v>pending_review</x:v>
      </x:c>
      <x:c r="K25" s="25" t="str"/>
      <x:c r="L25" s="25" t="str">
        <x:v>Identiteit via instellingscode 23HH</x:v>
      </x:c>
    </x:row>
    <x:row r="26" ht="30" customHeight="1">
      <x:c r="A26" s="23" t="str">
        <x:v>src-025</x:v>
      </x:c>
      <x:c r="B26" s="23" t="str">
        <x:v>edu-vo-meervestiging</x:v>
      </x:c>
      <x:c r="C26" s="23" t="str">
        <x:v>official_candidate</x:v>
      </x:c>
      <x:c r="D26" s="23" t="str">
        <x:v>https://duo.nl/open_onderwijsdata/voortgezet-onderwijs/personeel/in-aantal-personen.jsp</x:v>
      </x:c>
      <x:c r="E26" s="23" t="str">
        <x:v>duo_personeel</x:v>
      </x:c>
      <x:c r="F26" s="23" t="str">
        <x:v>338</x:v>
      </x:c>
      <x:c r="G26" s="23" t="str">
        <x:v>onderwijspersoneel_personen</x:v>
      </x:c>
      <x:c r="H26" s="23" t="str">
        <x:v>limburg</x:v>
      </x:c>
      <x:c r="I26" s="25" t="str"/>
      <x:c r="J26" s="25" t="str">
        <x:v>pending_review</x:v>
      </x:c>
      <x:c r="K26" s="25" t="str"/>
      <x:c r="L26" s="25" t="str">
        <x:v>Instellingscijfer voor meerdere vestigingen</x:v>
      </x:c>
    </x:row>
    <x:row r="27" ht="30" customHeight="1">
      <x:c r="A27" s="23" t="str">
        <x:v>src-026</x:v>
      </x:c>
      <x:c r="B27" s="23" t="str">
        <x:v>edu-vo-meervestiging</x:v>
      </x:c>
      <x:c r="C27" s="23" t="str">
        <x:v>identity_candidate</x:v>
      </x:c>
      <x:c r="D27" s="23" t="str">
        <x:v>https://duo.nl/open_onderwijsdata/images/02.-alle-vestigingen-vo.csv</x:v>
      </x:c>
      <x:c r="E27" s="23" t="str">
        <x:v>duo_adressen</x:v>
      </x:c>
      <x:c r="F27" s="23" t="str"/>
      <x:c r="G27" s="23" t="str"/>
      <x:c r="H27" s="23" t="str"/>
      <x:c r="I27" s="25" t="str"/>
      <x:c r="J27" s="25" t="str">
        <x:v>pending_review</x:v>
      </x:c>
      <x:c r="K27" s="25" t="str"/>
      <x:c r="L27" s="25" t="str">
        <x:v>Identiteit via instellingscode 03XF</x:v>
      </x:c>
    </x:row>
    <x:row r="28" ht="30" customHeight="1">
      <x:c r="A28" s="23" t="str">
        <x:v>src-027</x:v>
      </x:c>
      <x:c r="B28" s="23" t="str">
        <x:v>edu-vo-groep</x:v>
      </x:c>
      <x:c r="C28" s="23" t="str">
        <x:v>official_candidate</x:v>
      </x:c>
      <x:c r="D28" s="23" t="str">
        <x:v>https://duo.nl/open_onderwijsdata/voortgezet-onderwijs/personeel/in-aantal-personen.jsp</x:v>
      </x:c>
      <x:c r="E28" s="23" t="str">
        <x:v>duo_personeel</x:v>
      </x:c>
      <x:c r="F28" s="23" t="str"/>
      <x:c r="G28" s="23" t="str">
        <x:v>onderwijspersoneel_personen</x:v>
      </x:c>
      <x:c r="H28" s="23" t="str">
        <x:v>limburg</x:v>
      </x:c>
      <x:c r="I28" s="25" t="str"/>
      <x:c r="J28" s="25" t="str">
        <x:v>pending_review</x:v>
      </x:c>
      <x:c r="K28" s="25" t="str"/>
      <x:c r="L28" s="25" t="str">
        <x:v>Meerdere instellingscodes; geen optelling zonder bewijs</x:v>
      </x:c>
    </x:row>
    <x:row r="29" ht="30" customHeight="1">
      <x:c r="A29" s="23" t="str">
        <x:v>src-028</x:v>
      </x:c>
      <x:c r="B29" s="23" t="str">
        <x:v>edu-vo-groep</x:v>
      </x:c>
      <x:c r="C29" s="23" t="str">
        <x:v>identity_candidate</x:v>
      </x:c>
      <x:c r="D29" s="23" t="str">
        <x:v>https://duo.nl/open_onderwijsdata/images/02.-alle-vestigingen-vo.csv</x:v>
      </x:c>
      <x:c r="E29" s="23" t="str">
        <x:v>duo_adressen</x:v>
      </x:c>
      <x:c r="F29" s="23" t="str"/>
      <x:c r="G29" s="23" t="str"/>
      <x:c r="H29" s="23" t="str"/>
      <x:c r="I29" s="25" t="str"/>
      <x:c r="J29" s="25" t="str">
        <x:v>pending_review</x:v>
      </x:c>
      <x:c r="K29" s="25" t="str"/>
      <x:c r="L29" s="25" t="str">
        <x:v>Identiteit via 01MO 04DS 07BQ</x:v>
      </x:c>
    </x:row>
    <x:row r="30" ht="30" customHeight="1">
      <x:c r="A30" s="23" t="str">
        <x:v>src-029</x:v>
      </x:c>
      <x:c r="B30" s="23" t="str">
        <x:v>edu-mbo-vista</x:v>
      </x:c>
      <x:c r="C30" s="23" t="str">
        <x:v>official_candidate</x:v>
      </x:c>
      <x:c r="D30" s="23" t="str">
        <x:v>https://duo.nl/open_onderwijsdata/middelbaar-beroepsonderwijs/personeel/onderwijspersoneel-mbo-in-aantal-personen.jsp</x:v>
      </x:c>
      <x:c r="E30" s="23" t="str">
        <x:v>duo_personeel</x:v>
      </x:c>
      <x:c r="F30" s="23" t="str">
        <x:v>1370</x:v>
      </x:c>
      <x:c r="G30" s="23" t="str">
        <x:v>onderwijspersoneel_personen</x:v>
      </x:c>
      <x:c r="H30" s="23" t="str">
        <x:v>instelling</x:v>
      </x:c>
      <x:c r="I30" s="25" t="str"/>
      <x:c r="J30" s="25" t="str">
        <x:v>pending_review</x:v>
      </x:c>
      <x:c r="K30" s="25" t="str"/>
      <x:c r="L30" s="25" t="str">
        <x:v>Niet per leslocatie gebruiken</x:v>
      </x:c>
    </x:row>
    <x:row r="31" ht="30" customHeight="1">
      <x:c r="A31" s="23" t="str">
        <x:v>src-030</x:v>
      </x:c>
      <x:c r="B31" s="23" t="str">
        <x:v>edu-mbo-vista</x:v>
      </x:c>
      <x:c r="C31" s="23" t="str">
        <x:v>identity_candidate</x:v>
      </x:c>
      <x:c r="D31" s="23" t="str">
        <x:v>https://duo.nl/open_onderwijsdata/images/01.-adressen-mbo-instellingen.csv</x:v>
      </x:c>
      <x:c r="E31" s="23" t="str">
        <x:v>duo_adressen</x:v>
      </x:c>
      <x:c r="F31" s="23" t="str"/>
      <x:c r="G31" s="23" t="str"/>
      <x:c r="H31" s="23" t="str"/>
      <x:c r="I31" s="25" t="str"/>
      <x:c r="J31" s="25" t="str">
        <x:v>pending_review</x:v>
      </x:c>
      <x:c r="K31" s="25" t="str"/>
      <x:c r="L31" s="25" t="str">
        <x:v>Identiteit via instellingscode 25PL</x:v>
      </x:c>
    </x:row>
    <x:row r="32" ht="30" customHeight="1">
      <x:c r="A32" s="23" t="str">
        <x:v>src-031</x:v>
      </x:c>
      <x:c r="B32" s="23" t="str">
        <x:v>edu-mbo-gilde</x:v>
      </x:c>
      <x:c r="C32" s="23" t="str">
        <x:v>official_candidate</x:v>
      </x:c>
      <x:c r="D32" s="23" t="str">
        <x:v>https://duo.nl/open_onderwijsdata/middelbaar-beroepsonderwijs/personeel/onderwijspersoneel-mbo-in-aantal-personen.jsp</x:v>
      </x:c>
      <x:c r="E32" s="23" t="str">
        <x:v>duo_personeel</x:v>
      </x:c>
      <x:c r="F32" s="23" t="str">
        <x:v>1023</x:v>
      </x:c>
      <x:c r="G32" s="23" t="str">
        <x:v>onderwijspersoneel_personen</x:v>
      </x:c>
      <x:c r="H32" s="23" t="str">
        <x:v>instelling</x:v>
      </x:c>
      <x:c r="I32" s="25" t="str"/>
      <x:c r="J32" s="25" t="str">
        <x:v>pending_review</x:v>
      </x:c>
      <x:c r="K32" s="25" t="str"/>
      <x:c r="L32" s="25" t="str">
        <x:v>Niet per leslocatie gebruiken</x:v>
      </x:c>
    </x:row>
    <x:row r="33" ht="30" customHeight="1">
      <x:c r="A33" s="23" t="str">
        <x:v>src-032</x:v>
      </x:c>
      <x:c r="B33" s="23" t="str">
        <x:v>edu-mbo-gilde</x:v>
      </x:c>
      <x:c r="C33" s="23" t="str">
        <x:v>identity_candidate</x:v>
      </x:c>
      <x:c r="D33" s="23" t="str">
        <x:v>https://duo.nl/open_onderwijsdata/images/01.-adressen-mbo-instellingen.csv</x:v>
      </x:c>
      <x:c r="E33" s="23" t="str">
        <x:v>duo_adressen</x:v>
      </x:c>
      <x:c r="F33" s="23" t="str"/>
      <x:c r="G33" s="23" t="str"/>
      <x:c r="H33" s="23" t="str"/>
      <x:c r="I33" s="25" t="str"/>
      <x:c r="J33" s="25" t="str">
        <x:v>pending_review</x:v>
      </x:c>
      <x:c r="K33" s="25" t="str"/>
      <x:c r="L33" s="25" t="str">
        <x:v>Identiteit via instellingscode 25LT</x:v>
      </x:c>
    </x:row>
    <x:row r="34" ht="30" customHeight="1">
      <x:c r="A34" s="23" t="str">
        <x:v>src-033</x:v>
      </x:c>
      <x:c r="B34" s="23" t="str">
        <x:v>formal-ou</x:v>
      </x:c>
      <x:c r="C34" s="23" t="str">
        <x:v>gold_candidate</x:v>
      </x:c>
      <x:c r="D34" s="23" t="str">
        <x:v>https://www.ou.nl/documents/40554/55499/20250604_U2025_02964_OU_Jaarverslag_en_jaarrekening_2024.pdf</x:v>
      </x:c>
      <x:c r="E34" s="23" t="str">
        <x:v>jaarverslag</x:v>
      </x:c>
      <x:c r="F34" s="23" t="str"/>
      <x:c r="G34" s="23" t="str"/>
      <x:c r="H34" s="23" t="str">
        <x:v>concern</x:v>
      </x:c>
      <x:c r="I34" s="25" t="str"/>
      <x:c r="J34" s="25" t="str">
        <x:v>pending_review</x:v>
      </x:c>
      <x:c r="K34" s="25" t="str"/>
      <x:c r="L34" s="25" t="str">
        <x:v>Verslagjaar 2024 bevestigen</x:v>
      </x:c>
    </x:row>
    <x:row r="35" ht="30" customHeight="1">
      <x:c r="A35" s="23" t="str">
        <x:v>src-034</x:v>
      </x:c>
      <x:c r="B35" s="23" t="str">
        <x:v>formal-servatius</x:v>
      </x:c>
      <x:c r="C35" s="23" t="str">
        <x:v>gold_candidate</x:v>
      </x:c>
      <x:c r="D35" s="23" t="str">
        <x:v>https://www.servatius.nl/media/02B82AD6-38A7-47B6-B6F2-651469EADB8F/Jaarverslag%202025.pdf</x:v>
      </x:c>
      <x:c r="E35" s="23" t="str">
        <x:v>jaarverslag</x:v>
      </x:c>
      <x:c r="F35" s="23" t="str"/>
      <x:c r="G35" s="23" t="str"/>
      <x:c r="H35" s="23" t="str">
        <x:v>concern</x:v>
      </x:c>
      <x:c r="I35" s="25" t="str"/>
      <x:c r="J35" s="25" t="str">
        <x:v>pending_review</x:v>
      </x:c>
      <x:c r="K35" s="25" t="str"/>
      <x:c r="L35" s="25" t="str">
        <x:v>Bron en scope bevestigen</x:v>
      </x:c>
    </x:row>
    <x:row r="36" ht="30" customHeight="1">
      <x:c r="A36" s="23" t="str">
        <x:v>src-035</x:v>
      </x:c>
      <x:c r="B36" s="23" t="str">
        <x:v>formal-um</x:v>
      </x:c>
      <x:c r="C36" s="23" t="str">
        <x:v>gold_candidate</x:v>
      </x:c>
      <x:c r="D36" s="23" t="str">
        <x:v>https://www.maastrichtuniversity.nl/sites/default/files/2025-06/UM%20Jaarverslag%202024.pdf</x:v>
      </x:c>
      <x:c r="E36" s="23" t="str">
        <x:v>jaarverslag</x:v>
      </x:c>
      <x:c r="F36" s="23" t="str"/>
      <x:c r="G36" s="23" t="str"/>
      <x:c r="H36" s="23" t="str">
        <x:v>concern</x:v>
      </x:c>
      <x:c r="I36" s="25" t="str"/>
      <x:c r="J36" s="25" t="str">
        <x:v>pending_review</x:v>
      </x:c>
      <x:c r="K36" s="25" t="str"/>
      <x:c r="L36" s="25" t="str">
        <x:v>Publicatiejaar 2025 versus verslagjaar 2024</x:v>
      </x:c>
    </x:row>
    <x:row r="37" ht="30" customHeight="1">
      <x:c r="A37" s="23" t="str">
        <x:v>src-036</x:v>
      </x:c>
      <x:c r="B37" s="23" t="str">
        <x:v>formal-zuyd</x:v>
      </x:c>
      <x:c r="C37" s="23" t="str">
        <x:v>gold_candidate</x:v>
      </x:c>
      <x:c r="D37" s="23" t="str">
        <x:v>https://www.zuyd.nl/binaries/content/assets/zuyd/over-zuyd/jaarverslagen/zuyd-jaarverslag-2024.pdf</x:v>
      </x:c>
      <x:c r="E37" s="23" t="str">
        <x:v>jaarverslag</x:v>
      </x:c>
      <x:c r="F37" s="23" t="str"/>
      <x:c r="G37" s="23" t="str"/>
      <x:c r="H37" s="23" t="str">
        <x:v>concern</x:v>
      </x:c>
      <x:c r="I37" s="25" t="str"/>
      <x:c r="J37" s="25" t="str">
        <x:v>pending_review</x:v>
      </x:c>
      <x:c r="K37" s="25" t="str"/>
      <x:c r="L37" s="25" t="str">
        <x:v>Bron en instellingsscope bevestigen</x:v>
      </x:c>
    </x:row>
    <x:row r="38" ht="30" customHeight="1">
      <x:c r="A38" s="23" t="str">
        <x:v>src-037</x:v>
      </x:c>
      <x:c r="B38" s="23" t="str">
        <x:v>formal-puntwelzijn</x:v>
      </x:c>
      <x:c r="C38" s="23" t="str">
        <x:v>gold_candidate</x:v>
      </x:c>
      <x:c r="D38" s="23" t="str">
        <x:v>https://www.puntwelzijn.nl/wp-content/uploads/2025/06/punt-welzijn-2024-jaarverslag-inclusief-controle-verklaring-was-getekend-gewaarmerkt.pdf</x:v>
      </x:c>
      <x:c r="E38" s="23" t="str">
        <x:v>jaarverslag</x:v>
      </x:c>
      <x:c r="F38" s="23" t="str"/>
      <x:c r="G38" s="23" t="str"/>
      <x:c r="H38" s="23" t="str">
        <x:v>concern</x:v>
      </x:c>
      <x:c r="I38" s="25" t="str"/>
      <x:c r="J38" s="25" t="str">
        <x:v>pending_review</x:v>
      </x:c>
      <x:c r="K38" s="25" t="str"/>
      <x:c r="L38" s="25" t="str">
        <x:v>Kleine organisatie met formeel document</x:v>
      </x:c>
    </x:row>
    <x:row r="39" ht="30" customHeight="1">
      <x:c r="A39" s="23" t="str">
        <x:v>src-038</x:v>
      </x:c>
      <x:c r="B39" s="23" t="str">
        <x:v>formal-dynagroup</x:v>
      </x:c>
      <x:c r="C39" s="23" t="str">
        <x:v>gold_candidate</x:v>
      </x:c>
      <x:c r="D39" s="23" t="str">
        <x:v>https://www.dynagroup.nl/csr-jaarverslag-dynagroup-2023/</x:v>
      </x:c>
      <x:c r="E39" s="23" t="str">
        <x:v>jaarverslag_html</x:v>
      </x:c>
      <x:c r="F39" s="23" t="str"/>
      <x:c r="G39" s="23" t="str"/>
      <x:c r="H39" s="23" t="str">
        <x:v>concern</x:v>
      </x:c>
      <x:c r="I39" s="25" t="str"/>
      <x:c r="J39" s="25" t="str">
        <x:v>pending_review</x:v>
      </x:c>
      <x:c r="K39" s="25" t="str"/>
      <x:c r="L39" s="25" t="str">
        <x:v>HTML-documentcase</x:v>
      </x:c>
    </x:row>
    <x:row r="40" ht="30" customHeight="1">
      <x:c r="A40" s="23" t="str">
        <x:v>src-039</x:v>
      </x:c>
      <x:c r="B40" s="23" t="str">
        <x:v>formal-aviko</x:v>
      </x:c>
      <x:c r="C40" s="23" t="str">
        <x:v>gold_candidate</x:v>
      </x:c>
      <x:c r="D40" s="23" t="str">
        <x:v>https://www.cosun.nl/nieuws/cosun-publiceert-jaarverslag-2025/</x:v>
      </x:c>
      <x:c r="E40" s="23" t="str">
        <x:v>officiele_publicatiepagina</x:v>
      </x:c>
      <x:c r="F40" s="23" t="str"/>
      <x:c r="G40" s="23" t="str"/>
      <x:c r="H40" s="23" t="str">
        <x:v>concern</x:v>
      </x:c>
      <x:c r="I40" s="25" t="str"/>
      <x:c r="J40" s="25" t="str">
        <x:v>pending_review</x:v>
      </x:c>
      <x:c r="K40" s="25" t="str"/>
      <x:c r="L40" s="25" t="str">
        <x:v>Groepsscope bevestigen</x:v>
      </x:c>
    </x:row>
    <x:row r="41" ht="30" customHeight="1">
      <x:c r="A41" s="23" t="str">
        <x:v>src-040</x:v>
      </x:c>
      <x:c r="B41" s="23" t="str">
        <x:v>formal-philadelphia</x:v>
      </x:c>
      <x:c r="C41" s="23" t="str">
        <x:v>gold_candidate</x:v>
      </x:c>
      <x:c r="D41" s="23" t="str">
        <x:v>https://www.philadelphia.nl/assets/uploads/Philadelphia.nl/4-Over-ons/1-Over-Philadelphia/Onze-jaarplannen-en-jaarverslagen/Jaarverslag-2025.pdf</x:v>
      </x:c>
      <x:c r="E41" s="23" t="str">
        <x:v>jaarverslag</x:v>
      </x:c>
      <x:c r="F41" s="23" t="str"/>
      <x:c r="G41" s="23" t="str"/>
      <x:c r="H41" s="23" t="str">
        <x:v>concern</x:v>
      </x:c>
      <x:c r="I41" s="25" t="str"/>
      <x:c r="J41" s="25" t="str">
        <x:v>pending_review</x:v>
      </x:c>
      <x:c r="K41" s="25" t="str"/>
      <x:c r="L41" s="25" t="str">
        <x:v>Bron en scope bevestigen</x:v>
      </x:c>
    </x:row>
    <x:row r="42" ht="30" customHeight="1">
      <x:c r="A42" s="23" t="str">
        <x:v>src-041</x:v>
      </x:c>
      <x:c r="B42" s="23" t="str">
        <x:v>care-kraamzorg-west</x:v>
      </x:c>
      <x:c r="C42" s="23" t="str">
        <x:v>system_candidate</x:v>
      </x:c>
      <x:c r="D42" s="23" t="str">
        <x:v>https://www.kraamzorghetgroenekruis.nl/ons/onze-teams/</x:v>
      </x:c>
      <x:c r="E42" s="23" t="str">
        <x:v>teampagina</x:v>
      </x:c>
      <x:c r="F42" s="23" t="str"/>
      <x:c r="G42" s="23" t="str"/>
      <x:c r="H42" s="23" t="str">
        <x:v>unknown</x:v>
      </x:c>
      <x:c r="I42" s="25" t="str"/>
      <x:c r="J42" s="25" t="str">
        <x:v>pending_review</x:v>
      </x:c>
      <x:c r="K42" s="25" t="str"/>
      <x:c r="L42" s="25" t="str">
        <x:v>Mogelijk relevante regioteams</x:v>
      </x:c>
    </x:row>
    <x:row r="43" ht="30" customHeight="1">
      <x:c r="A43" s="23" t="str">
        <x:v>src-042</x:v>
      </x:c>
      <x:c r="B43" s="23" t="str">
        <x:v>care-kraamzorg-west</x:v>
      </x:c>
      <x:c r="C43" s="23" t="str">
        <x:v>system_candidate</x:v>
      </x:c>
      <x:c r="D43" s="23" t="str">
        <x:v>https://www.kraamzorghetgroenekruis.nl/ons/</x:v>
      </x:c>
      <x:c r="E43" s="23" t="str">
        <x:v>officiele_website</x:v>
      </x:c>
      <x:c r="F43" s="23" t="str"/>
      <x:c r="G43" s="23" t="str"/>
      <x:c r="H43" s="23" t="str">
        <x:v>unknown</x:v>
      </x:c>
      <x:c r="I43" s="25" t="str"/>
      <x:c r="J43" s="25" t="str">
        <x:v>pending_review</x:v>
      </x:c>
      <x:c r="K43" s="25" t="str"/>
      <x:c r="L43" s="25" t="str">
        <x:v>Organisatiecontext</x:v>
      </x:c>
    </x:row>
    <x:row r="44" ht="30" customHeight="1">
      <x:c r="A44" s="23" t="str">
        <x:v>src-043</x:v>
      </x:c>
      <x:c r="B44" s="23" t="str">
        <x:v>care-eldershof</x:v>
      </x:c>
      <x:c r="C44" s="23" t="str">
        <x:v>system_candidate</x:v>
      </x:c>
      <x:c r="D44" s="23" t="str">
        <x:v>https://www.dichterbij.nl/assets/uploads/bestanden/Jaarstukken-Dichterbij-2024-compleet.pdf</x:v>
      </x:c>
      <x:c r="E44" s="23" t="str">
        <x:v>jaarverslag</x:v>
      </x:c>
      <x:c r="F44" s="23" t="str">
        <x:v>2763</x:v>
      </x:c>
      <x:c r="G44" s="23" t="str">
        <x:v>werkzame_personen</x:v>
      </x:c>
      <x:c r="H44" s="23" t="str">
        <x:v>concern</x:v>
      </x:c>
      <x:c r="I44" s="25" t="str"/>
      <x:c r="J44" s="25" t="str">
        <x:v>pending_review</x:v>
      </x:c>
      <x:c r="K44" s="25" t="str"/>
      <x:c r="L44" s="25" t="str">
        <x:v>Getal is waarschijnlijk concernbreed</x:v>
      </x:c>
    </x:row>
    <x:row r="45" ht="30" customHeight="1">
      <x:c r="A45" s="23" t="str">
        <x:v>src-044</x:v>
      </x:c>
      <x:c r="B45" s="23" t="str">
        <x:v>care-eldershof</x:v>
      </x:c>
      <x:c r="C45" s="23" t="str">
        <x:v>system_candidate</x:v>
      </x:c>
      <x:c r="D45" s="23" t="str">
        <x:v>https://www.dichterbij.nl/locaties/well/eldershof-1</x:v>
      </x:c>
      <x:c r="E45" s="23" t="str">
        <x:v>locatiepagina</x:v>
      </x:c>
      <x:c r="F45" s="23" t="str"/>
      <x:c r="G45" s="23" t="str"/>
      <x:c r="H45" s="23" t="str"/>
      <x:c r="I45" s="25" t="str"/>
      <x:c r="J45" s="25" t="str">
        <x:v>pending_review</x:v>
      </x:c>
      <x:c r="K45" s="25" t="str"/>
      <x:c r="L45" s="25" t="str">
        <x:v>Vestigingsidentiteit</x:v>
      </x:c>
    </x:row>
    <x:row r="46" ht="30" customHeight="1">
      <x:c r="A46" s="23" t="str">
        <x:v>src-045</x:v>
      </x:c>
      <x:c r="B46" s="23" t="str">
        <x:v>care-amaliahof</x:v>
      </x:c>
      <x:c r="C46" s="23" t="str">
        <x:v>system_candidate</x:v>
      </x:c>
      <x:c r="D46" s="23" t="str">
        <x:v>https://www.dezorggroep.nl/over-de-zorggroep/jaarverslagen</x:v>
      </x:c>
      <x:c r="E46" s="23" t="str">
        <x:v>jaarverslag_overzicht</x:v>
      </x:c>
      <x:c r="F46" s="23" t="str">
        <x:v>4934</x:v>
      </x:c>
      <x:c r="G46" s="23" t="str">
        <x:v>werkzame_personen</x:v>
      </x:c>
      <x:c r="H46" s="23" t="str">
        <x:v>concern</x:v>
      </x:c>
      <x:c r="I46" s="25" t="str"/>
      <x:c r="J46" s="25" t="str">
        <x:v>pending_review</x:v>
      </x:c>
      <x:c r="K46" s="25" t="str"/>
      <x:c r="L46" s="25" t="str">
        <x:v>Niet als locatiegetal gebruiken zonder verdeling</x:v>
      </x:c>
    </x:row>
    <x:row r="47" ht="30" customHeight="1">
      <x:c r="A47" s="23" t="str">
        <x:v>src-046</x:v>
      </x:c>
      <x:c r="B47" s="23" t="str">
        <x:v>care-amaliahof</x:v>
      </x:c>
      <x:c r="C47" s="23" t="str">
        <x:v>system_candidate</x:v>
      </x:c>
      <x:c r="D47" s="23" t="str">
        <x:v>https://www.dezorggroep.nl/zorgvragers/wonen-bij-de-zorggroep/zorglocaties/amaliahof</x:v>
      </x:c>
      <x:c r="E47" s="23" t="str">
        <x:v>locatiepagina</x:v>
      </x:c>
      <x:c r="F47" s="23" t="str"/>
      <x:c r="G47" s="23" t="str"/>
      <x:c r="H47" s="23" t="str"/>
      <x:c r="I47" s="25" t="str"/>
      <x:c r="J47" s="25" t="str">
        <x:v>pending_review</x:v>
      </x:c>
      <x:c r="K47" s="25" t="str"/>
      <x:c r="L47" s="25" t="str">
        <x:v>Vestigingsidentiteit</x:v>
      </x:c>
    </x:row>
    <x:row r="48" ht="30" customHeight="1">
      <x:c r="A48" s="23" t="str">
        <x:v>src-047</x:v>
      </x:c>
      <x:c r="B48" s="23" t="str">
        <x:v>care-zorghotel-roermond</x:v>
      </x:c>
      <x:c r="C48" s="23" t="str">
        <x:v>system_candidate</x:v>
      </x:c>
      <x:c r="D48" s="23" t="str">
        <x:v>https://www.dezorggroep.nl/over-de-zorggroep/jaarverslagen</x:v>
      </x:c>
      <x:c r="E48" s="23" t="str">
        <x:v>jaarverslag_overzicht</x:v>
      </x:c>
      <x:c r="F48" s="23" t="str">
        <x:v>4934</x:v>
      </x:c>
      <x:c r="G48" s="23" t="str">
        <x:v>werkzame_personen</x:v>
      </x:c>
      <x:c r="H48" s="23" t="str">
        <x:v>concern</x:v>
      </x:c>
      <x:c r="I48" s="25" t="str"/>
      <x:c r="J48" s="25" t="str">
        <x:v>pending_review</x:v>
      </x:c>
      <x:c r="K48" s="25" t="str"/>
      <x:c r="L48" s="25" t="str">
        <x:v>Peilmoment en scope controleren</x:v>
      </x:c>
    </x:row>
    <x:row r="49" ht="30" customHeight="1">
      <x:c r="A49" s="23" t="str">
        <x:v>src-048</x:v>
      </x:c>
      <x:c r="B49" s="23" t="str">
        <x:v>care-zorghotel-roermond</x:v>
      </x:c>
      <x:c r="C49" s="23" t="str">
        <x:v>system_candidate</x:v>
      </x:c>
      <x:c r="D49" s="23" t="str">
        <x:v>https://www.dezorggroep.nl/assets/folders-flyers/dzbestuursverslag2024.pdf</x:v>
      </x:c>
      <x:c r="E49" s="23" t="str">
        <x:v>bestuursverslag</x:v>
      </x:c>
      <x:c r="F49" s="23" t="str">
        <x:v>5150</x:v>
      </x:c>
      <x:c r="G49" s="23" t="str">
        <x:v>werkzame_personen</x:v>
      </x:c>
      <x:c r="H49" s="23" t="str">
        <x:v>concern</x:v>
      </x:c>
      <x:c r="I49" s="25" t="str"/>
      <x:c r="J49" s="25" t="str">
        <x:v>pending_review</x:v>
      </x:c>
      <x:c r="K49" s="25" t="str"/>
      <x:c r="L49" s="25" t="str">
        <x:v>Afwijkend concerngetal</x:v>
      </x:c>
    </x:row>
    <x:row r="50" ht="30" customHeight="1">
      <x:c r="A50" s="23" t="str">
        <x:v>src-049</x:v>
      </x:c>
      <x:c r="B50" s="23" t="str">
        <x:v>care-witte-steen</x:v>
      </x:c>
      <x:c r="C50" s="23" t="str">
        <x:v>system_candidate</x:v>
      </x:c>
      <x:c r="D50" s="23" t="str">
        <x:v>https://www.dezorggroep.nl/witte-steen</x:v>
      </x:c>
      <x:c r="E50" s="23" t="str">
        <x:v>locatiepagina</x:v>
      </x:c>
      <x:c r="F50" s="23" t="str"/>
      <x:c r="G50" s="23" t="str"/>
      <x:c r="H50" s="23" t="str"/>
      <x:c r="I50" s="25" t="str"/>
      <x:c r="J50" s="25" t="str">
        <x:v>pending_review</x:v>
      </x:c>
      <x:c r="K50" s="25" t="str"/>
      <x:c r="L50" s="25" t="str">
        <x:v>Locatiepagina zonder expliciet getal</x:v>
      </x:c>
    </x:row>
    <x:row r="51" ht="30" customHeight="1">
      <x:c r="A51" s="23" t="str">
        <x:v>src-050</x:v>
      </x:c>
      <x:c r="B51" s="23" t="str">
        <x:v>care-witte-steen</x:v>
      </x:c>
      <x:c r="C51" s="23" t="str">
        <x:v>system_candidate</x:v>
      </x:c>
      <x:c r="D51" s="23" t="str">
        <x:v>https://www.dezorggroep.nl/over-de-zorggroep/jaarverslagen</x:v>
      </x:c>
      <x:c r="E51" s="23" t="str">
        <x:v>jaarverslag_overzicht</x:v>
      </x:c>
      <x:c r="F51" s="23" t="str">
        <x:v>4934</x:v>
      </x:c>
      <x:c r="G51" s="23" t="str">
        <x:v>werkzame_personen</x:v>
      </x:c>
      <x:c r="H51" s="23" t="str">
        <x:v>concern</x:v>
      </x:c>
      <x:c r="I51" s="25" t="str"/>
      <x:c r="J51" s="25" t="str">
        <x:v>pending_review</x:v>
      </x:c>
      <x:c r="K51" s="25" t="str"/>
      <x:c r="L51" s="25" t="str">
        <x:v>Concerncontext</x:v>
      </x:c>
    </x:row>
    <x:row r="52" ht="30" customHeight="1">
      <x:c r="A52" s="23" t="str">
        <x:v>src-051</x:v>
      </x:c>
      <x:c r="B52" s="23" t="str">
        <x:v>care-revalidatie-venray</x:v>
      </x:c>
      <x:c r="C52" s="23" t="str">
        <x:v>system_candidate</x:v>
      </x:c>
      <x:c r="D52" s="23" t="str">
        <x:v>https://www.viecuri.nl/media/kucjp24f/jaardocument-2025-viecuri-medisch-centrum.pdf</x:v>
      </x:c>
      <x:c r="E52" s="23" t="str">
        <x:v>jaarverslag</x:v>
      </x:c>
      <x:c r="F52" s="23" t="str">
        <x:v>2900</x:v>
      </x:c>
      <x:c r="G52" s="23" t="str">
        <x:v>werkzame_personen</x:v>
      </x:c>
      <x:c r="H52" s="23" t="str">
        <x:v>concern</x:v>
      </x:c>
      <x:c r="I52" s="25" t="str"/>
      <x:c r="J52" s="25" t="str">
        <x:v>pending_review</x:v>
      </x:c>
      <x:c r="K52" s="25" t="str"/>
      <x:c r="L52" s="25" t="str">
        <x:v>Instellingsgetal versus revalidatievestiging</x:v>
      </x:c>
    </x:row>
    <x:row r="53" ht="30" customHeight="1">
      <x:c r="A53" s="23" t="str">
        <x:v>src-052</x:v>
      </x:c>
      <x:c r="B53" s="23" t="str">
        <x:v>care-revalidatie-venray</x:v>
      </x:c>
      <x:c r="C53" s="23" t="str">
        <x:v>system_candidate</x:v>
      </x:c>
      <x:c r="D53" s="23" t="str">
        <x:v>https://www.viecuri.nl/media/rsyn3wtr/jaardocument-viecuri-2024.pdf</x:v>
      </x:c>
      <x:c r="E53" s="23" t="str">
        <x:v>jaarverslag</x:v>
      </x:c>
      <x:c r="F53" s="23" t="str">
        <x:v>2875</x:v>
      </x:c>
      <x:c r="G53" s="23" t="str">
        <x:v>werkzame_personen</x:v>
      </x:c>
      <x:c r="H53" s="23" t="str">
        <x:v>concern</x:v>
      </x:c>
      <x:c r="I53" s="25" t="str"/>
      <x:c r="J53" s="25" t="str">
        <x:v>pending_review</x:v>
      </x:c>
      <x:c r="K53" s="25" t="str"/>
      <x:c r="L53" s="25" t="str">
        <x:v>Oudere instellingsbron</x:v>
      </x:c>
    </x:row>
    <x:row r="54" ht="30" customHeight="1">
      <x:c r="A54" s="23" t="str">
        <x:v>src-053</x:v>
      </x:c>
      <x:c r="B54" s="23" t="str">
        <x:v>care-revalidatie-venray</x:v>
      </x:c>
      <x:c r="C54" s="23" t="str">
        <x:v>known_false_positive</x:v>
      </x:c>
      <x:c r="D54" s="23" t="str">
        <x:v>https://www.viecuri.nl/media/anhf2ova/webversie-def-viecuri_hartslag_najaar-2025_web.pdf</x:v>
      </x:c>
      <x:c r="E54" s="23" t="str">
        <x:v>overige_pdf</x:v>
      </x:c>
      <x:c r="F54" s="23" t="str">
        <x:v>11</x:v>
      </x:c>
      <x:c r="G54" s="23" t="str">
        <x:v>werkzame_personen</x:v>
      </x:c>
      <x:c r="H54" s="23" t="str">
        <x:v>unknown</x:v>
      </x:c>
      <x:c r="I54" s="25" t="str">
        <x:v>false</x:v>
      </x:c>
      <x:c r="J54" s="25" t="str">
        <x:v>pending_review</x:v>
      </x:c>
      <x:c r="K54" s="25" t="str">
        <x:v>verkeerde_context</x:v>
      </x:c>
      <x:c r="L54" s="25" t="str">
        <x:v>Expliciete extractievalkuil</x:v>
      </x:c>
    </x:row>
    <x:row r="55" ht="30" customHeight="1">
      <x:c r="A55" s="23" t="str">
        <x:v>src-054</x:v>
      </x:c>
      <x:c r="B55" s="23" t="str">
        <x:v>care-zorggroep-concern</x:v>
      </x:c>
      <x:c r="C55" s="23" t="str">
        <x:v>system_candidate</x:v>
      </x:c>
      <x:c r="D55" s="23" t="str">
        <x:v>https://www.dezorggroep.nl/over-de-zorggroep/jaarverslagen</x:v>
      </x:c>
      <x:c r="E55" s="23" t="str">
        <x:v>jaarverslag_overzicht</x:v>
      </x:c>
      <x:c r="F55" s="23" t="str">
        <x:v>4934</x:v>
      </x:c>
      <x:c r="G55" s="23" t="str">
        <x:v>werkzame_personen</x:v>
      </x:c>
      <x:c r="H55" s="23" t="str">
        <x:v>concern</x:v>
      </x:c>
      <x:c r="I55" s="25" t="str"/>
      <x:c r="J55" s="25" t="str">
        <x:v>pending_review</x:v>
      </x:c>
      <x:c r="K55" s="25" t="str"/>
      <x:c r="L55" s="25" t="str">
        <x:v>Concerncase</x:v>
      </x:c>
    </x:row>
    <x:row r="56" ht="30" customHeight="1">
      <x:c r="A56" s="23" t="str">
        <x:v>src-055</x:v>
      </x:c>
      <x:c r="B56" s="23" t="str">
        <x:v>care-zorggroep-concern</x:v>
      </x:c>
      <x:c r="C56" s="23" t="str">
        <x:v>system_candidate</x:v>
      </x:c>
      <x:c r="D56" s="23" t="str">
        <x:v>https://www.dezorggroep.nl/assets/folders-flyers/bestuursverslag-2023---raad-van-bestuur.pdf</x:v>
      </x:c>
      <x:c r="E56" s="23" t="str">
        <x:v>bestuursverslag</x:v>
      </x:c>
      <x:c r="F56" s="23" t="str">
        <x:v>5000</x:v>
      </x:c>
      <x:c r="G56" s="23" t="str">
        <x:v>werkzame_personen</x:v>
      </x:c>
      <x:c r="H56" s="23" t="str">
        <x:v>concern</x:v>
      </x:c>
      <x:c r="I56" s="25" t="str"/>
      <x:c r="J56" s="25" t="str">
        <x:v>pending_review</x:v>
      </x:c>
      <x:c r="K56" s="25" t="str"/>
      <x:c r="L56" s="25" t="str">
        <x:v>Ouder concerngetal</x:v>
      </x:c>
    </x:row>
    <x:row r="57" ht="30" customHeight="1">
      <x:c r="A57" s="23" t="str">
        <x:v>src-056</x:v>
      </x:c>
      <x:c r="B57" s="23" t="str">
        <x:v>care-groenling</x:v>
      </x:c>
      <x:c r="C57" s="23" t="str">
        <x:v>system_candidate</x:v>
      </x:c>
      <x:c r="D57" s="23" t="str">
        <x:v>https://primenius.nl/locaties/de-groenling/kinderopvang/</x:v>
      </x:c>
      <x:c r="E57" s="23" t="str">
        <x:v>teampagina</x:v>
      </x:c>
      <x:c r="F57" s="23" t="str">
        <x:v>7</x:v>
      </x:c>
      <x:c r="G57" s="23" t="str">
        <x:v>werkzame_personen</x:v>
      </x:c>
      <x:c r="H57" s="23" t="str">
        <x:v>unknown</x:v>
      </x:c>
      <x:c r="I57" s="25" t="str"/>
      <x:c r="J57" s="25" t="str">
        <x:v>pending_review</x:v>
      </x:c>
      <x:c r="K57" s="25" t="str"/>
      <x:c r="L57" s="25" t="str">
        <x:v>Mogelijk lokale medewerkers</x:v>
      </x:c>
    </x:row>
    <x:row r="58" ht="30" customHeight="1">
      <x:c r="A58" s="23" t="str">
        <x:v>src-057</x:v>
      </x:c>
      <x:c r="B58" s="23" t="str">
        <x:v>care-groenling</x:v>
      </x:c>
      <x:c r="C58" s="23" t="str">
        <x:v>system_candidate</x:v>
      </x:c>
      <x:c r="D58" s="23" t="str">
        <x:v>https://primenius.nl/wp-content/uploads/2025/06/566654500-RJ-1416-Stichting-Primenius-Onderwijs-jaarverslag-2024.pdf</x:v>
      </x:c>
      <x:c r="E58" s="23" t="str">
        <x:v>jaarverslag</x:v>
      </x:c>
      <x:c r="F58" s="23" t="str"/>
      <x:c r="G58" s="23" t="str"/>
      <x:c r="H58" s="23" t="str">
        <x:v>concern</x:v>
      </x:c>
      <x:c r="I58" s="25" t="str"/>
      <x:c r="J58" s="25" t="str">
        <x:v>pending_review</x:v>
      </x:c>
      <x:c r="K58" s="25" t="str"/>
      <x:c r="L58" s="25" t="str">
        <x:v>Onderwijsconcern versus kinderopvanglocatie</x:v>
      </x:c>
    </x:row>
    <x:row r="59" ht="30" customHeight="1">
      <x:c r="A59" s="23" t="str">
        <x:v>src-058</x:v>
      </x:c>
      <x:c r="B59" s="23" t="str">
        <x:v>care-hospice-ark</x:v>
      </x:c>
      <x:c r="C59" s="23" t="str">
        <x:v>system_candidate</x:v>
      </x:c>
      <x:c r="D59" s="23" t="str">
        <x:v>https://www.dezorggroep.nl/zorgvragers/wonen-bij-de-zorggroep/zorglocaties/de-ark</x:v>
      </x:c>
      <x:c r="E59" s="23" t="str">
        <x:v>locatiepagina</x:v>
      </x:c>
      <x:c r="F59" s="23" t="str"/>
      <x:c r="G59" s="23" t="str"/>
      <x:c r="H59" s="23" t="str"/>
      <x:c r="I59" s="25" t="str"/>
      <x:c r="J59" s="25" t="str">
        <x:v>pending_review</x:v>
      </x:c>
      <x:c r="K59" s="25" t="str"/>
      <x:c r="L59" s="25" t="str">
        <x:v>Vestigingsidentiteit</x:v>
      </x:c>
    </x:row>
    <x:row r="60" ht="30" customHeight="1">
      <x:c r="A60" s="23" t="str">
        <x:v>src-059</x:v>
      </x:c>
      <x:c r="B60" s="23" t="str">
        <x:v>care-hospice-ark</x:v>
      </x:c>
      <x:c r="C60" s="23" t="str">
        <x:v>system_candidate</x:v>
      </x:c>
      <x:c r="D60" s="23" t="str">
        <x:v>https://www.dezorggroep.nl/over-de-zorggroep/jaarverslagen</x:v>
      </x:c>
      <x:c r="E60" s="23" t="str">
        <x:v>jaarverslag_overzicht</x:v>
      </x:c>
      <x:c r="F60" s="23" t="str">
        <x:v>4934</x:v>
      </x:c>
      <x:c r="G60" s="23" t="str">
        <x:v>werkzame_personen</x:v>
      </x:c>
      <x:c r="H60" s="23" t="str">
        <x:v>concern</x:v>
      </x:c>
      <x:c r="I60" s="25" t="str"/>
      <x:c r="J60" s="25" t="str">
        <x:v>pending_review</x:v>
      </x:c>
      <x:c r="K60" s="25" t="str"/>
      <x:c r="L60" s="25" t="str">
        <x:v>Concerngetal niet lokaal</x:v>
      </x:c>
    </x:row>
    <x:row r="61" ht="30" customHeight="1">
      <x:c r="A61" s="23" t="str">
        <x:v>src-060</x:v>
      </x:c>
      <x:c r="B61" s="23" t="str">
        <x:v>care-hospice-mariaweide</x:v>
      </x:c>
      <x:c r="C61" s="23" t="str">
        <x:v>system_candidate</x:v>
      </x:c>
      <x:c r="D61" s="23" t="str">
        <x:v>https://hospicevenlo.nl/wp-content/uploads/2025/06/Mariaweide_Jaarverslag_2024_web-1.pdf</x:v>
      </x:c>
      <x:c r="E61" s="23" t="str">
        <x:v>jaarverslag</x:v>
      </x:c>
      <x:c r="F61" s="23" t="str">
        <x:v>145</x:v>
      </x:c>
      <x:c r="G61" s="23" t="str">
        <x:v>werkzame_personen</x:v>
      </x:c>
      <x:c r="H61" s="23" t="str">
        <x:v>limburg</x:v>
      </x:c>
      <x:c r="I61" s="25" t="str"/>
      <x:c r="J61" s="25" t="str">
        <x:v>pending_review</x:v>
      </x:c>
      <x:c r="K61" s="25" t="str"/>
      <x:c r="L61" s="25" t="str">
        <x:v>Controleer medewerkers versus vrijwilligers en scope</x:v>
      </x:c>
    </x:row>
    <x:row r="62" ht="30" customHeight="1">
      <x:c r="A62" s="23" t="str">
        <x:v>src-061</x:v>
      </x:c>
      <x:c r="B62" s="23" t="str">
        <x:v>care-hospice-mariaweide</x:v>
      </x:c>
      <x:c r="C62" s="23" t="str">
        <x:v>known_false_positive</x:v>
      </x:c>
      <x:c r="D62" s="23" t="str">
        <x:v>https://www.hospicevenlo.nl/wp-content/uploads/2024/12/Mariaweide_Nieuwsbrief_2021_voorjaar_web.pdf</x:v>
      </x:c>
      <x:c r="E62" s="23" t="str">
        <x:v>nieuwsbrief</x:v>
      </x:c>
      <x:c r="F62" s="23" t="str">
        <x:v>2</x:v>
      </x:c>
      <x:c r="G62" s="23" t="str">
        <x:v>werkzame_personen</x:v>
      </x:c>
      <x:c r="H62" s="23" t="str">
        <x:v>unknown</x:v>
      </x:c>
      <x:c r="I62" s="25" t="str">
        <x:v>false</x:v>
      </x:c>
      <x:c r="J62" s="25" t="str">
        <x:v>pending_review</x:v>
      </x:c>
      <x:c r="K62" s="25" t="str">
        <x:v>verouderde_deelcontext</x:v>
      </x:c>
      <x:c r="L62" s="25" t="str">
        <x:v>Oud klein getal is geen actuele vestigingsomvang</x:v>
      </x:c>
    </x:row>
    <x:row r="63" ht="30" customHeight="1">
      <x:c r="A63" s="23" t="str">
        <x:v>src-062</x:v>
      </x:c>
      <x:c r="B63" s="23" t="str">
        <x:v>care-team-echt-zuid</x:v>
      </x:c>
      <x:c r="C63" s="23" t="str">
        <x:v>system_candidate</x:v>
      </x:c>
      <x:c r="D63" s="23" t="str">
        <x:v>https://www.dezorggroep.nl/zorgvragers/thuis-wonen/thuiszorg</x:v>
      </x:c>
      <x:c r="E63" s="23" t="str">
        <x:v>teampagina</x:v>
      </x:c>
      <x:c r="F63" s="23" t="str"/>
      <x:c r="G63" s="23" t="str"/>
      <x:c r="H63" s="23" t="str">
        <x:v>unknown</x:v>
      </x:c>
      <x:c r="I63" s="25" t="str"/>
      <x:c r="J63" s="25" t="str">
        <x:v>pending_review</x:v>
      </x:c>
      <x:c r="K63" s="25" t="str"/>
      <x:c r="L63" s="25" t="str">
        <x:v>Teamverdeling zoeken</x:v>
      </x:c>
    </x:row>
    <x:row r="64" ht="30" customHeight="1">
      <x:c r="A64" s="23" t="str">
        <x:v>src-063</x:v>
      </x:c>
      <x:c r="B64" s="23" t="str">
        <x:v>care-team-echt-zuid</x:v>
      </x:c>
      <x:c r="C64" s="23" t="str">
        <x:v>system_candidate</x:v>
      </x:c>
      <x:c r="D64" s="23" t="str">
        <x:v>https://www.dezorggroep.nl/over-de-zorggroep/jaarverslagen</x:v>
      </x:c>
      <x:c r="E64" s="23" t="str">
        <x:v>jaarverslag_overzicht</x:v>
      </x:c>
      <x:c r="F64" s="23" t="str">
        <x:v>4934</x:v>
      </x:c>
      <x:c r="G64" s="23" t="str">
        <x:v>werkzame_personen</x:v>
      </x:c>
      <x:c r="H64" s="23" t="str">
        <x:v>concern</x:v>
      </x:c>
      <x:c r="I64" s="25" t="str"/>
      <x:c r="J64" s="25" t="str">
        <x:v>pending_review</x:v>
      </x:c>
      <x:c r="K64" s="25" t="str"/>
      <x:c r="L64" s="25" t="str">
        <x:v>Concerngetal niet als teamgetal gebruiken</x:v>
      </x:c>
    </x:row>
    <x:row r="65" ht="30" customHeight="1">
      <x:c r="A65" s="23" t="str">
        <x:v>src-064</x:v>
      </x:c>
      <x:c r="B65" s="23" t="str">
        <x:v>care-valdere</x:v>
      </x:c>
      <x:c r="C65" s="23" t="str">
        <x:v>system_candidate</x:v>
      </x:c>
      <x:c r="D65" s="23" t="str">
        <x:v>https://www.vredenoord.nl/wp-content/uploads/2026/05/2026-05-01-64384-org-Landelijke-Stichting-Vredenoord-JR-2025-DEFINITIEF.pdf</x:v>
      </x:c>
      <x:c r="E65" s="23" t="str">
        <x:v>jaarrekening</x:v>
      </x:c>
      <x:c r="F65" s="23" t="str">
        <x:v>141</x:v>
      </x:c>
      <x:c r="G65" s="23" t="str">
        <x:v>werkzame_personen</x:v>
      </x:c>
      <x:c r="H65" s="23" t="str">
        <x:v>concern</x:v>
      </x:c>
      <x:c r="I65" s="25" t="str"/>
      <x:c r="J65" s="25" t="str">
        <x:v>pending_review</x:v>
      </x:c>
      <x:c r="K65" s="25" t="str"/>
      <x:c r="L65" s="25" t="str">
        <x:v>Stichtingsscope bevestigen</x:v>
      </x:c>
    </x:row>
    <x:row r="66" ht="30" customHeight="1">
      <x:c r="A66" s="23" t="str">
        <x:v>src-065</x:v>
      </x:c>
      <x:c r="B66" s="23" t="str">
        <x:v>care-valdere</x:v>
      </x:c>
      <x:c r="C66" s="23" t="str">
        <x:v>system_candidate</x:v>
      </x:c>
      <x:c r="D66" s="23" t="str">
        <x:v>https://www.vredenoord.nl/</x:v>
      </x:c>
      <x:c r="E66" s="23" t="str">
        <x:v>officiele_website</x:v>
      </x:c>
      <x:c r="F66" s="23" t="str"/>
      <x:c r="G66" s="23" t="str"/>
      <x:c r="H66" s="23" t="str"/>
      <x:c r="I66" s="25" t="str"/>
      <x:c r="J66" s="25" t="str">
        <x:v>pending_review</x:v>
      </x:c>
      <x:c r="K66" s="25" t="str"/>
      <x:c r="L66" s="25" t="str">
        <x:v>Vestigingsidentiteit zoeken</x:v>
      </x:c>
    </x:row>
    <x:row r="67" ht="30" customHeight="1">
      <x:c r="A67" s="24" t="str">
        <x:v>src-066</x:v>
      </x:c>
      <x:c r="B67" s="24" t="str">
        <x:v>care-psychogeriatrie-venray</x:v>
      </x:c>
      <x:c r="C67" s="24" t="str">
        <x:v>system_candidate</x:v>
      </x:c>
      <x:c r="D67" s="24" t="str">
        <x:v>http://www.cvneuropsychiatrie.nl/</x:v>
      </x:c>
      <x:c r="E67" s="24" t="str">
        <x:v>officiele_website</x:v>
      </x:c>
      <x:c r="F67" s="24" t="str"/>
      <x:c r="G67" s="24" t="str"/>
      <x:c r="H67" s="24" t="str">
        <x:v>unknown</x:v>
      </x:c>
      <x:c r="I67" s="26" t="str"/>
      <x:c r="J67" s="26" t="str">
        <x:v>pending_review</x:v>
      </x:c>
      <x:c r="K67" s="26" t="str"/>
      <x:c r="L67" s="26" t="str">
        <x:v>Oude website en afkortingsmatch controleren</x:v>
      </x:c>
    </x:row>
  </x:sheetData>
  <x:conditionalFormatting sqref="J2:J67">
    <x:cfRule type="expression" dxfId="2" priority="1">
      <x:formula>J2="verified"</x:formula>
    </x:cfRule>
  </x:conditionalFormatting>
  <x:dataValidations count="2">
    <x:dataValidation type="list" sqref="I2:I67">
      <x:formula1>"true,false"</x:formula1>
    </x:dataValidation>
    <x:dataValidation type="list" sqref="J2:J67">
      <x:formula1>"pending_review,verified,excluded"</x:formula1>
    </x:dataValidation>
  </x:dataValidations>
  <x:pageMargins left="0.7" right="0.7" top="0.75" bottom="0.75" header="0.3" footer="0.3"/>
  <x:tableParts count="1">
    <x:tablePart xmlns:r="http://schemas.openxmlformats.org/officeDocument/2006/relationships" r:id="Rafcb8a3133c7413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28" hidden="0" customWidth="1"/>
    <x:col min="3" max="3" width="78" hidden="0" customWidth="1"/>
  </x:cols>
  <x:sheetData>
    <x:row r="1">
      <x:c r="A1" s="28" t="str">
        <x:v>Beoordelingsinstructies</x:v>
      </x:c>
      <x:c r="B1" s="28"/>
      <x:c r="C1" s="28"/>
      <x:c r="D1" s="28"/>
      <x:c r="E1" s="28"/>
      <x:c r="F1" s="28"/>
      <x:c r="G1" s="28"/>
      <x:c r="H1" s="28"/>
    </x:row>
    <x:row r="2">
      <x:c r="A2" s="28"/>
      <x:c r="B2" s="28"/>
      <x:c r="C2" s="28"/>
      <x:c r="D2" s="28"/>
      <x:c r="E2" s="28"/>
      <x:c r="F2" s="28"/>
      <x:c r="G2" s="28"/>
      <x:c r="H2" s="28"/>
    </x:row>
    <x:row r="5" ht="62" customHeight="1">
      <x:c r="A5" s="31" t="str">
        <x:v>1</x:v>
      </x:c>
      <x:c r="B5" s="32" t="str">
        <x:v>Onderzoek onafhankelijk</x:v>
      </x:c>
      <x:c r="C5" s="35" t="str">
        <x:v>Vertrouw niet op legacy_wp_hint, wp_hint of een kandidaatbron. Controleer de organisatie, het adres en de vestigingsscope opnieuw.</x:v>
      </x:c>
    </x:row>
    <x:row r="6" ht="62" customHeight="1">
      <x:c r="A6" s="31" t="str">
        <x:v>2</x:v>
      </x:c>
      <x:c r="B6" s="32" t="str">
        <x:v>Controleer alle relevante bronnen</x:v>
      </x:c>
      <x:c r="C6" s="35" t="str">
        <x:v>Neem officiële websites, team- en locatiepagina’s, documenten, nieuws en sectorregisters mee. Eén gevonden bron is niet automatisch voldoende.</x:v>
      </x:c>
    </x:row>
    <x:row r="7" ht="62" customHeight="1">
      <x:c r="A7" s="31" t="str">
        <x:v>3</x:v>
      </x:c>
      <x:c r="B7" s="32" t="str">
        <x:v>Houd eenheid en scope strikt</x:v>
      </x:c>
      <x:c r="C7" s="35" t="str">
        <x:v>WP is niet hetzelfde als FTE. Een concern-, landelijk of instellingscijfer is niet automatisch een vestigingscijfer.</x:v>
      </x:c>
    </x:row>
    <x:row r="8" ht="62" customHeight="1">
      <x:c r="A8" s="31" t="str">
        <x:v>4</x:v>
      </x:c>
      <x:c r="B8" s="32" t="str">
        <x:v>Leg afwijzingen uit</x:v>
      </x:c>
      <x:c r="C8" s="35" t="str">
        <x:v>Noteer waarom een bron niet bruikbaar is, bijvoorbeeld verkeerde entiteit, verkeerde locatie, verkeerde jaargang, ontbrekend getal of onvolledige crawl.</x:v>
      </x:c>
    </x:row>
    <x:row r="9" ht="62" customHeight="1">
      <x:c r="A9" s="31" t="str">
        <x:v>5</x:v>
      </x:c>
      <x:c r="B9" s="32" t="str">
        <x:v>Kies het betrouwbaarheidsoordeel</x:v>
      </x:c>
      <x:c r="C9" s="35" t="str">
        <x:v>eenduidig = verantwoord overnemen; twijfelachtig = bronconflict of afleiding; onduidelijk = geen betrouwbare publieke uitkomst.</x:v>
      </x:c>
    </x:row>
    <x:row r="10" ht="62" customHeight="1">
      <x:c r="A10" s="31" t="str">
        <x:v>6</x:v>
      </x:c>
      <x:c r="B10" s="32" t="str">
        <x:v>Verifieer pas aan het einde</x:v>
      </x:c>
      <x:c r="C10" s="36" t="str">
        <x:v>Zet de bronlabels op verified en daarna de case op verified. Alleen dan telt de case mee in de automatische score.</x:v>
      </x:c>
    </x:row>
  </x:sheetData>
  <x:mergeCells>
    <x:mergeCell ref="A1:H2"/>
  </x:mergeCells>
  <x:pageMargins left="0.7" right="0.7" top="0.75" bottom="0.75" header="0.3" footer="0.3"/>
</x:worksheet>
</file>